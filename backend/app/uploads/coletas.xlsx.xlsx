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ALIX\Desktop\"/>
    </mc:Choice>
  </mc:AlternateContent>
  <xr:revisionPtr revIDLastSave="0" documentId="13_ncr:1_{29A0A99D-5929-431A-9445-D9B8DC24F1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AQUARI" sheetId="9" r:id="rId1"/>
    <sheet name="BKP" sheetId="10" r:id="rId2"/>
  </sheets>
  <definedNames>
    <definedName name="_xlnm._FilterDatabase" localSheetId="0" hidden="1">ARAQUARI!$A$2:$P$62</definedName>
    <definedName name="_xlnm.Print_Area" localSheetId="0">ARAQUARI!$A$1:$R$85</definedName>
    <definedName name="_xlnm.Print_Area" localSheetId="1">BKP!$A$1:$R$73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9" l="1"/>
  <c r="O17" i="9" s="1"/>
  <c r="L17" i="9"/>
  <c r="L60" i="9" l="1"/>
  <c r="M60" i="9"/>
  <c r="L15" i="9"/>
  <c r="M28" i="9"/>
  <c r="O28" i="9" s="1"/>
  <c r="L28" i="9"/>
  <c r="L41" i="9"/>
  <c r="M38" i="9"/>
  <c r="O38" i="9" s="1"/>
  <c r="L38" i="9"/>
  <c r="M15" i="9"/>
  <c r="O15" i="9" s="1"/>
  <c r="M32" i="9"/>
  <c r="M34" i="9"/>
  <c r="M19" i="9"/>
  <c r="M26" i="9" l="1"/>
  <c r="O26" i="9" s="1"/>
  <c r="L26" i="9"/>
  <c r="M5" i="9" l="1"/>
  <c r="O5" i="9" s="1"/>
  <c r="L5" i="9"/>
  <c r="M14" i="9" l="1"/>
  <c r="O14" i="9" s="1"/>
  <c r="L14" i="9"/>
  <c r="M27" i="9"/>
  <c r="O27" i="9" s="1"/>
  <c r="L27" i="9"/>
  <c r="M8" i="9" l="1"/>
  <c r="O8" i="9" s="1"/>
  <c r="L8" i="9"/>
  <c r="L52" i="9" l="1"/>
  <c r="M37" i="9" l="1"/>
  <c r="O37" i="9" s="1"/>
  <c r="L37" i="9"/>
  <c r="O34" i="9"/>
  <c r="L34" i="9"/>
  <c r="M56" i="9"/>
  <c r="O56" i="9" s="1"/>
  <c r="L56" i="9"/>
  <c r="M50" i="9"/>
  <c r="O50" i="9" s="1"/>
  <c r="L50" i="9"/>
  <c r="M49" i="9"/>
  <c r="O49" i="9" s="1"/>
  <c r="L49" i="9"/>
  <c r="M45" i="9" l="1"/>
  <c r="L24" i="9"/>
  <c r="M12" i="9"/>
  <c r="Q52" i="10" l="1"/>
  <c r="L52" i="10"/>
  <c r="G52" i="10"/>
  <c r="C52" i="10"/>
  <c r="A52" i="10"/>
  <c r="B71" i="10" s="1"/>
  <c r="M50" i="10"/>
  <c r="O50" i="10" s="1"/>
  <c r="L50" i="10"/>
  <c r="M49" i="10"/>
  <c r="O49" i="10" s="1"/>
  <c r="L49" i="10"/>
  <c r="M48" i="10"/>
  <c r="O48" i="10" s="1"/>
  <c r="L48" i="10"/>
  <c r="M47" i="10"/>
  <c r="O47" i="10" s="1"/>
  <c r="L47" i="10"/>
  <c r="M46" i="10"/>
  <c r="O46" i="10" s="1"/>
  <c r="L46" i="10"/>
  <c r="M45" i="10"/>
  <c r="O45" i="10" s="1"/>
  <c r="L45" i="10"/>
  <c r="M44" i="10"/>
  <c r="O44" i="10" s="1"/>
  <c r="L44" i="10"/>
  <c r="M43" i="10"/>
  <c r="O43" i="10" s="1"/>
  <c r="L43" i="10"/>
  <c r="M42" i="10"/>
  <c r="O42" i="10" s="1"/>
  <c r="L42" i="10"/>
  <c r="M41" i="10"/>
  <c r="O41" i="10" s="1"/>
  <c r="L41" i="10"/>
  <c r="M40" i="10"/>
  <c r="O40" i="10" s="1"/>
  <c r="L40" i="10"/>
  <c r="M39" i="10"/>
  <c r="O39" i="10" s="1"/>
  <c r="L39" i="10"/>
  <c r="M38" i="10"/>
  <c r="O38" i="10" s="1"/>
  <c r="L38" i="10"/>
  <c r="M37" i="10"/>
  <c r="O37" i="10" s="1"/>
  <c r="M36" i="10"/>
  <c r="O36" i="10" s="1"/>
  <c r="L36" i="10"/>
  <c r="M35" i="10"/>
  <c r="O35" i="10" s="1"/>
  <c r="L35" i="10"/>
  <c r="M34" i="10"/>
  <c r="O34" i="10" s="1"/>
  <c r="L34" i="10"/>
  <c r="M33" i="10"/>
  <c r="O33" i="10" s="1"/>
  <c r="L33" i="10"/>
  <c r="M32" i="10"/>
  <c r="O32" i="10" s="1"/>
  <c r="L32" i="10"/>
  <c r="M31" i="10"/>
  <c r="O31" i="10" s="1"/>
  <c r="L31" i="10"/>
  <c r="M30" i="10"/>
  <c r="O30" i="10" s="1"/>
  <c r="L30" i="10"/>
  <c r="M29" i="10"/>
  <c r="O29" i="10" s="1"/>
  <c r="L29" i="10"/>
  <c r="M28" i="10"/>
  <c r="O28" i="10" s="1"/>
  <c r="L28" i="10"/>
  <c r="M27" i="10"/>
  <c r="O27" i="10" s="1"/>
  <c r="L27" i="10"/>
  <c r="M26" i="10"/>
  <c r="O26" i="10" s="1"/>
  <c r="L26" i="10"/>
  <c r="M25" i="10"/>
  <c r="O25" i="10" s="1"/>
  <c r="L25" i="10"/>
  <c r="M24" i="10"/>
  <c r="O24" i="10" s="1"/>
  <c r="L24" i="10"/>
  <c r="M21" i="10"/>
  <c r="O21" i="10" s="1"/>
  <c r="L21" i="10"/>
  <c r="M20" i="10"/>
  <c r="O20" i="10" s="1"/>
  <c r="L20" i="10"/>
  <c r="M19" i="10"/>
  <c r="O19" i="10" s="1"/>
  <c r="L19" i="10"/>
  <c r="M18" i="10"/>
  <c r="O18" i="10" s="1"/>
  <c r="L18" i="10"/>
  <c r="M17" i="10"/>
  <c r="O17" i="10" s="1"/>
  <c r="L17" i="10"/>
  <c r="M16" i="10"/>
  <c r="O16" i="10" s="1"/>
  <c r="L16" i="10"/>
  <c r="M15" i="10"/>
  <c r="O15" i="10" s="1"/>
  <c r="L15" i="10"/>
  <c r="M14" i="10"/>
  <c r="O14" i="10" s="1"/>
  <c r="L14" i="10"/>
  <c r="M13" i="10"/>
  <c r="O13" i="10" s="1"/>
  <c r="L13" i="10"/>
  <c r="M12" i="10"/>
  <c r="O12" i="10" s="1"/>
  <c r="L12" i="10"/>
  <c r="M11" i="10"/>
  <c r="O11" i="10" s="1"/>
  <c r="L11" i="10"/>
  <c r="M10" i="10"/>
  <c r="O10" i="10" s="1"/>
  <c r="L10" i="10"/>
  <c r="M9" i="10"/>
  <c r="O9" i="10" s="1"/>
  <c r="L9" i="10"/>
  <c r="M8" i="10"/>
  <c r="O8" i="10" s="1"/>
  <c r="L8" i="10"/>
  <c r="M7" i="10"/>
  <c r="O7" i="10" s="1"/>
  <c r="L7" i="10"/>
  <c r="M6" i="10"/>
  <c r="O6" i="10" s="1"/>
  <c r="L6" i="10"/>
  <c r="M5" i="10"/>
  <c r="O5" i="10" s="1"/>
  <c r="L5" i="10"/>
  <c r="M4" i="10"/>
  <c r="O4" i="10" s="1"/>
  <c r="L4" i="10"/>
  <c r="M3" i="10"/>
  <c r="O3" i="10" s="1"/>
  <c r="L3" i="10"/>
  <c r="H61" i="10" l="1"/>
  <c r="H56" i="10"/>
  <c r="D59" i="10"/>
  <c r="M61" i="10"/>
  <c r="B64" i="10"/>
  <c r="H66" i="10"/>
  <c r="B69" i="10"/>
  <c r="R63" i="10"/>
  <c r="M56" i="10"/>
  <c r="H59" i="10"/>
  <c r="R61" i="10"/>
  <c r="D64" i="10"/>
  <c r="M66" i="10"/>
  <c r="D69" i="10"/>
  <c r="R55" i="10"/>
  <c r="D66" i="10"/>
  <c r="R56" i="10"/>
  <c r="M59" i="10"/>
  <c r="B62" i="10"/>
  <c r="H64" i="10"/>
  <c r="R66" i="10"/>
  <c r="H69" i="10"/>
  <c r="B59" i="10"/>
  <c r="R68" i="10"/>
  <c r="H57" i="10"/>
  <c r="R59" i="10"/>
  <c r="D62" i="10"/>
  <c r="M64" i="10"/>
  <c r="B67" i="10"/>
  <c r="M69" i="10"/>
  <c r="M57" i="10"/>
  <c r="B60" i="10"/>
  <c r="H62" i="10"/>
  <c r="R64" i="10"/>
  <c r="D67" i="10"/>
  <c r="R69" i="10"/>
  <c r="R57" i="10"/>
  <c r="D60" i="10"/>
  <c r="M62" i="10"/>
  <c r="B65" i="10"/>
  <c r="H67" i="10"/>
  <c r="B70" i="10"/>
  <c r="B58" i="10"/>
  <c r="H60" i="10"/>
  <c r="R62" i="10"/>
  <c r="D65" i="10"/>
  <c r="M67" i="10"/>
  <c r="D70" i="10"/>
  <c r="D58" i="10"/>
  <c r="M60" i="10"/>
  <c r="B63" i="10"/>
  <c r="H65" i="10"/>
  <c r="R67" i="10"/>
  <c r="H70" i="10"/>
  <c r="H58" i="10"/>
  <c r="R60" i="10"/>
  <c r="D63" i="10"/>
  <c r="M65" i="10"/>
  <c r="D68" i="10"/>
  <c r="M70" i="10"/>
  <c r="M58" i="10"/>
  <c r="B61" i="10"/>
  <c r="H63" i="10"/>
  <c r="R65" i="10"/>
  <c r="H68" i="10"/>
  <c r="R70" i="10"/>
  <c r="R54" i="10"/>
  <c r="R58" i="10"/>
  <c r="D61" i="10"/>
  <c r="M63" i="10"/>
  <c r="B66" i="10"/>
  <c r="M68" i="10"/>
  <c r="M52" i="9"/>
  <c r="M53" i="9"/>
  <c r="M54" i="9"/>
  <c r="M55" i="9"/>
  <c r="M57" i="9"/>
  <c r="M58" i="9"/>
  <c r="M59" i="9"/>
  <c r="M61" i="9"/>
  <c r="M46" i="9" l="1"/>
  <c r="M47" i="9"/>
  <c r="M48" i="9"/>
  <c r="M51" i="9"/>
  <c r="M42" i="9"/>
  <c r="M43" i="9"/>
  <c r="M44" i="9"/>
  <c r="M36" i="9"/>
  <c r="M39" i="9"/>
  <c r="M40" i="9"/>
  <c r="M41" i="9"/>
  <c r="M33" i="9"/>
  <c r="M35" i="9"/>
  <c r="M29" i="9"/>
  <c r="M22" i="9"/>
  <c r="M23" i="9"/>
  <c r="M24" i="9"/>
  <c r="M25" i="9"/>
  <c r="M20" i="9"/>
  <c r="M21" i="9"/>
  <c r="M18" i="9"/>
  <c r="M16" i="9"/>
  <c r="M11" i="9"/>
  <c r="M10" i="9"/>
  <c r="M9" i="9"/>
  <c r="M7" i="9"/>
  <c r="M6" i="9"/>
  <c r="L44" i="9" l="1"/>
  <c r="O18" i="9"/>
  <c r="L18" i="9"/>
  <c r="O16" i="9"/>
  <c r="L16" i="9"/>
  <c r="O20" i="9" l="1"/>
  <c r="L20" i="9"/>
  <c r="O12" i="9"/>
  <c r="L12" i="9"/>
  <c r="M3" i="9"/>
  <c r="O3" i="9" s="1"/>
  <c r="L3" i="9"/>
  <c r="O29" i="9" l="1"/>
  <c r="L29" i="9"/>
  <c r="O13" i="9"/>
  <c r="L13" i="9"/>
  <c r="O35" i="9" l="1"/>
  <c r="L35" i="9"/>
  <c r="O42" i="9" l="1"/>
  <c r="L42" i="9"/>
  <c r="O23" i="9" l="1"/>
  <c r="L23" i="9"/>
  <c r="O40" i="9" l="1"/>
  <c r="L40" i="9"/>
  <c r="O33" i="9"/>
  <c r="L33" i="9"/>
  <c r="O32" i="9"/>
  <c r="L32" i="9"/>
  <c r="O58" i="9" l="1"/>
  <c r="L58" i="9"/>
  <c r="O52" i="9" l="1"/>
  <c r="O41" i="9" l="1"/>
  <c r="O43" i="9" l="1"/>
  <c r="L43" i="9"/>
  <c r="O51" i="9" l="1"/>
  <c r="L51" i="9"/>
  <c r="O48" i="9"/>
  <c r="L48" i="9"/>
  <c r="O47" i="9" l="1"/>
  <c r="O46" i="9"/>
  <c r="L46" i="9"/>
  <c r="O45" i="9" l="1"/>
  <c r="L45" i="9"/>
  <c r="O9" i="9"/>
  <c r="L9" i="9"/>
  <c r="O44" i="9" l="1"/>
  <c r="O7" i="9" l="1"/>
  <c r="L7" i="9"/>
  <c r="O39" i="9"/>
  <c r="L39" i="9"/>
  <c r="O61" i="9"/>
  <c r="L61" i="9"/>
  <c r="M4" i="9" l="1"/>
  <c r="O4" i="9" s="1"/>
  <c r="L4" i="9"/>
  <c r="O6" i="9" l="1"/>
  <c r="L6" i="9"/>
  <c r="O53" i="9" l="1"/>
  <c r="L53" i="9"/>
  <c r="O21" i="9" l="1"/>
  <c r="L21" i="9"/>
  <c r="O22" i="9" l="1"/>
  <c r="L22" i="9"/>
  <c r="O36" i="9" l="1"/>
  <c r="L36" i="9"/>
  <c r="M31" i="9" l="1"/>
  <c r="O31" i="9" s="1"/>
  <c r="L31" i="9"/>
  <c r="O10" i="9" l="1"/>
  <c r="L10" i="9"/>
  <c r="M62" i="9" l="1"/>
  <c r="O62" i="9" s="1"/>
  <c r="L62" i="9"/>
  <c r="O54" i="9" l="1"/>
  <c r="L54" i="9"/>
  <c r="O24" i="9" l="1"/>
  <c r="O25" i="9"/>
  <c r="L25" i="9"/>
  <c r="Q64" i="9"/>
  <c r="L64" i="9"/>
  <c r="G64" i="9"/>
  <c r="C64" i="9"/>
  <c r="A64" i="9"/>
  <c r="O59" i="9"/>
  <c r="L59" i="9"/>
  <c r="O57" i="9"/>
  <c r="L57" i="9"/>
  <c r="O55" i="9"/>
  <c r="L55" i="9"/>
  <c r="O19" i="9"/>
  <c r="L19" i="9"/>
  <c r="O11" i="9"/>
  <c r="L11" i="9"/>
  <c r="H78" i="9" l="1"/>
  <c r="D75" i="9"/>
  <c r="B82" i="9"/>
  <c r="B77" i="9"/>
  <c r="D76" i="9"/>
  <c r="B83" i="9"/>
  <c r="H77" i="9"/>
  <c r="D78" i="9"/>
  <c r="D80" i="9"/>
  <c r="B81" i="9"/>
  <c r="B76" i="9"/>
  <c r="B78" i="9"/>
  <c r="H76" i="9"/>
  <c r="D77" i="9"/>
  <c r="D79" i="9"/>
  <c r="B80" i="9"/>
  <c r="H75" i="9"/>
  <c r="R82" i="9"/>
  <c r="R75" i="9"/>
  <c r="M76" i="9"/>
  <c r="R77" i="9"/>
  <c r="M78" i="9"/>
  <c r="H79" i="9"/>
  <c r="R79" i="9"/>
  <c r="M80" i="9"/>
  <c r="H81" i="9"/>
  <c r="R81" i="9"/>
  <c r="D82" i="9"/>
  <c r="M82" i="9"/>
  <c r="M75" i="9"/>
  <c r="R76" i="9"/>
  <c r="M77" i="9"/>
  <c r="R78" i="9"/>
  <c r="M79" i="9"/>
  <c r="H80" i="9"/>
  <c r="R80" i="9"/>
  <c r="D81" i="9"/>
  <c r="M81" i="9"/>
  <c r="H82" i="9"/>
  <c r="B75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D19" authorId="0" shapeId="0" xr:uid="{7F1208D0-22CF-44EF-B74E-578412E6224C}">
      <text>
        <r>
          <rPr>
            <b/>
            <sz val="12"/>
            <color indexed="81"/>
            <rFont val="Segoe UI"/>
            <family val="2"/>
          </rPr>
          <t>toda seg e sexta</t>
        </r>
      </text>
    </comment>
  </commentList>
</comments>
</file>

<file path=xl/sharedStrings.xml><?xml version="1.0" encoding="utf-8"?>
<sst xmlns="http://schemas.openxmlformats.org/spreadsheetml/2006/main" count="305" uniqueCount="125">
  <si>
    <t>7 TON</t>
  </si>
  <si>
    <t>5 TON</t>
  </si>
  <si>
    <t>Dias
Realizado</t>
  </si>
  <si>
    <t xml:space="preserve">VIAGEM - FUSOS </t>
  </si>
  <si>
    <t>VIAGEM - CAIXA</t>
  </si>
  <si>
    <t xml:space="preserve">                      Planejamento das Coletas (Caixas para Trocas)</t>
  </si>
  <si>
    <t>Sugestão Automática</t>
  </si>
  <si>
    <t>Giassi - Joinville - Bucarein - Lj 14</t>
  </si>
  <si>
    <t>Giassi - Joinville - América - Lj 08</t>
  </si>
  <si>
    <t>Angeloni - Jaraguá - Cel Grubba - Lj 22</t>
  </si>
  <si>
    <t>Angeloni - Joinville - América - Lj 21</t>
  </si>
  <si>
    <t>Prefe-rência</t>
  </si>
  <si>
    <t>Ter</t>
  </si>
  <si>
    <t>Seg</t>
  </si>
  <si>
    <t>Quarta-feira:</t>
  </si>
  <si>
    <t>Progra-mação (dias)</t>
  </si>
  <si>
    <t>Capacidade
Referência</t>
  </si>
  <si>
    <t>Última Troca</t>
  </si>
  <si>
    <t>Penúltima Troca</t>
  </si>
  <si>
    <t>Giassi - Jaraguá - Centro - Lj 15</t>
  </si>
  <si>
    <t>1 TON</t>
  </si>
  <si>
    <t>2 TON</t>
  </si>
  <si>
    <t>106F</t>
  </si>
  <si>
    <t>108F</t>
  </si>
  <si>
    <t>724F</t>
  </si>
  <si>
    <t>121F</t>
  </si>
  <si>
    <t>123F</t>
  </si>
  <si>
    <t>122F</t>
  </si>
  <si>
    <t>121L</t>
  </si>
  <si>
    <t>123L</t>
  </si>
  <si>
    <t>122L</t>
  </si>
  <si>
    <t>106P</t>
  </si>
  <si>
    <t>108P</t>
  </si>
  <si>
    <t>1246F</t>
  </si>
  <si>
    <t>Brasil Atacadista - Joinville - Lj 35</t>
  </si>
  <si>
    <t>1296L</t>
  </si>
  <si>
    <t>Atacadão Joinville</t>
  </si>
  <si>
    <t>1338L</t>
  </si>
  <si>
    <t>Bistek Joinville - Aventureiro - Lj 09</t>
  </si>
  <si>
    <t>Fort - Jaraguá do Sul - Lj 85</t>
  </si>
  <si>
    <t>Fort - Joinville - Aventureiro - Lj 165</t>
  </si>
  <si>
    <t>Fort - Barra Velha - Lj 335</t>
  </si>
  <si>
    <t>Fort - Joinville - Bucarein - Lj 305</t>
  </si>
  <si>
    <t>Fort - Joinville - Costa e Silva - Lj 405</t>
  </si>
  <si>
    <t>Carrefour Joinville (Big Americanas)</t>
  </si>
  <si>
    <t>Sam's Club Joinville (Big Beira Rio)</t>
  </si>
  <si>
    <t>Benteler</t>
  </si>
  <si>
    <t>10F</t>
  </si>
  <si>
    <t>1143F</t>
  </si>
  <si>
    <t>10P</t>
  </si>
  <si>
    <t>JMS Pescados</t>
  </si>
  <si>
    <t>Condor - Boa Vista</t>
  </si>
  <si>
    <t>Condor - Jaraguá</t>
  </si>
  <si>
    <t>Condor - Itaum</t>
  </si>
  <si>
    <t>1424F</t>
  </si>
  <si>
    <t>Hipermais - Jaraguá</t>
  </si>
  <si>
    <t>1438F</t>
  </si>
  <si>
    <t>Hipermais CD - Joinville - Profipo</t>
  </si>
  <si>
    <t>Hipermais - Araquari - Itinga</t>
  </si>
  <si>
    <t>Hipermais - Joinville - João Costa</t>
  </si>
  <si>
    <t>123A</t>
  </si>
  <si>
    <t>Giassi - Joinville LJ 08</t>
  </si>
  <si>
    <t>122A</t>
  </si>
  <si>
    <t>Giassi - Joinville LJ 14</t>
  </si>
  <si>
    <t>Hipermais - Joinville - Paranaguamirim</t>
  </si>
  <si>
    <t>Giassi - Joinville LJ 15</t>
  </si>
  <si>
    <t>121A</t>
  </si>
  <si>
    <t>Mercado do Povo - Boehmewald</t>
  </si>
  <si>
    <t>Mercado do Povo - Comasa</t>
  </si>
  <si>
    <t>Tarde</t>
  </si>
  <si>
    <t>Fort - Joinville - Floresta - Lj 250</t>
  </si>
  <si>
    <t>1603P</t>
  </si>
  <si>
    <t>1603F</t>
  </si>
  <si>
    <t>Hipermais - Joinville - Anita Garibaldi</t>
  </si>
  <si>
    <t>Angeloni - Joinville - Anita - Lj 23</t>
  </si>
  <si>
    <t>1715F</t>
  </si>
  <si>
    <t>Fort - Penha - Lj 420</t>
  </si>
  <si>
    <t>1715L</t>
  </si>
  <si>
    <t>Angeloni - Joinville - América - Lj21</t>
  </si>
  <si>
    <t>Fort - São Bento do Sul</t>
  </si>
  <si>
    <t>Giassi - Jaragua - Centro - Lj 15</t>
  </si>
  <si>
    <t>Preferência</t>
  </si>
  <si>
    <t>Condor Itaum</t>
  </si>
  <si>
    <t>Mercado do Povo Itaum</t>
  </si>
  <si>
    <t>Hipermais - Joinville - Vila  Nova</t>
  </si>
  <si>
    <t>Fort - Joinville - Vila Nova</t>
  </si>
  <si>
    <t>Angeloni  - Joinville - América - LJ 21</t>
  </si>
  <si>
    <t>Condor - América</t>
  </si>
  <si>
    <t>CRH (Tigre)</t>
  </si>
  <si>
    <t>Mercado do Povo - Itaum</t>
  </si>
  <si>
    <t>Hipermais - Joinville - Fatima</t>
  </si>
  <si>
    <t>Angeloni - Jaraguá - Rio Branco - Lj 10</t>
  </si>
  <si>
    <t>TP-Link</t>
  </si>
  <si>
    <t>Condor - America</t>
  </si>
  <si>
    <t>Knauf</t>
  </si>
  <si>
    <t>LIXO</t>
  </si>
  <si>
    <t>FIXA</t>
  </si>
  <si>
    <t>1005L</t>
  </si>
  <si>
    <t>Giassi - JGS LJ 15</t>
  </si>
  <si>
    <t>1605F</t>
  </si>
  <si>
    <t>Hipermais - Joinville - Vila Nova</t>
  </si>
  <si>
    <t>1453F</t>
  </si>
  <si>
    <t>Dohler</t>
  </si>
  <si>
    <t>1838L</t>
  </si>
  <si>
    <t>Fort São Francisco do Sul - Lj 395</t>
  </si>
  <si>
    <t>1838F</t>
  </si>
  <si>
    <t>1832F</t>
  </si>
  <si>
    <t xml:space="preserve">Brasil Atacadista - Itinga - Lj </t>
  </si>
  <si>
    <t>92L</t>
  </si>
  <si>
    <t>ter e qui</t>
  </si>
  <si>
    <t>Por solicitção</t>
  </si>
  <si>
    <t>Por Solicitação</t>
  </si>
  <si>
    <t>Fort - São Bento do Sul Lj- 400</t>
  </si>
  <si>
    <t>1885F</t>
  </si>
  <si>
    <t>Angeloni - Joinville - centro - Lj 40</t>
  </si>
  <si>
    <t>10A</t>
  </si>
  <si>
    <t xml:space="preserve">Condor  - Itaum </t>
  </si>
  <si>
    <t>1885L</t>
  </si>
  <si>
    <t>Fort - São Bento do Sul Lj- 385</t>
  </si>
  <si>
    <t>1885A</t>
  </si>
  <si>
    <t>1 semana sim outra não</t>
  </si>
  <si>
    <t>Fort - São Francisco do Sul - lj 395</t>
  </si>
  <si>
    <t xml:space="preserve">loja em obra </t>
  </si>
  <si>
    <t>fuso em manutenção</t>
  </si>
  <si>
    <t>Fort - Joinville Vila Nova - Lj 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</si>
</sst>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_ ;\-#,##0.0\ "/>
    <numFmt numFmtId="165" formatCode="#,##0_ ;\-#,##0\ "/>
  </numFmts>
  <fonts count="20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sz val="7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5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2"/>
      <color indexed="81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3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14" fontId="1" fillId="0" borderId="3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 vertical="center" indent="1"/>
    </xf>
    <xf numFmtId="0" fontId="0" fillId="0" borderId="0" xfId="0" applyAlignment="1">
      <alignment horizontal="right" vertical="center" indent="2"/>
    </xf>
    <xf numFmtId="164" fontId="4" fillId="0" borderId="0" xfId="1" applyNumberFormat="1" applyFont="1" applyAlignment="1">
      <alignment horizontal="right" vertical="center" indent="1"/>
    </xf>
    <xf numFmtId="164" fontId="0" fillId="0" borderId="0" xfId="1" applyNumberFormat="1" applyFont="1" applyAlignment="1">
      <alignment horizontal="right" vertical="center" indent="1"/>
    </xf>
    <xf numFmtId="0" fontId="8" fillId="2" borderId="1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164" fontId="0" fillId="0" borderId="0" xfId="1" applyNumberFormat="1" applyFont="1" applyAlignment="1" applyProtection="1">
      <alignment horizontal="right" vertical="center" indent="1"/>
    </xf>
    <xf numFmtId="0" fontId="0" fillId="0" borderId="2" xfId="0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horizontal="right" vertical="center" indent="2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center" vertical="center" wrapText="1"/>
    </xf>
    <xf numFmtId="165" fontId="10" fillId="0" borderId="4" xfId="1" applyNumberFormat="1" applyFont="1" applyFill="1" applyBorder="1" applyAlignment="1" applyProtection="1">
      <alignment horizontal="right" vertical="center"/>
      <protection locked="0"/>
    </xf>
    <xf numFmtId="0" fontId="6" fillId="0" borderId="4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right" vertical="center" indent="1"/>
    </xf>
    <xf numFmtId="165" fontId="10" fillId="6" borderId="4" xfId="1" applyNumberFormat="1" applyFont="1" applyFill="1" applyBorder="1" applyAlignment="1" applyProtection="1">
      <alignment horizontal="right" vertical="center"/>
      <protection locked="0"/>
    </xf>
    <xf numFmtId="0" fontId="10" fillId="0" borderId="3" xfId="0" applyFont="1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right" vertical="center"/>
      <protection locked="0"/>
    </xf>
    <xf numFmtId="0" fontId="10" fillId="0" borderId="4" xfId="0" applyFont="1" applyBorder="1" applyAlignment="1" applyProtection="1">
      <alignment horizontal="center" vertical="center"/>
      <protection locked="0"/>
    </xf>
    <xf numFmtId="0" fontId="3" fillId="7" borderId="4" xfId="0" applyFont="1" applyFill="1" applyBorder="1" applyAlignment="1" applyProtection="1">
      <alignment horizontal="center" vertical="center"/>
      <protection locked="0"/>
    </xf>
    <xf numFmtId="0" fontId="10" fillId="6" borderId="3" xfId="0" applyFont="1" applyFill="1" applyBorder="1" applyAlignment="1" applyProtection="1">
      <alignment horizontal="right" vertical="center" indent="2"/>
      <protection locked="0"/>
    </xf>
    <xf numFmtId="0" fontId="3" fillId="6" borderId="4" xfId="0" applyFont="1" applyFill="1" applyBorder="1" applyAlignment="1" applyProtection="1">
      <alignment horizontal="center" vertical="center"/>
      <protection locked="0"/>
    </xf>
    <xf numFmtId="0" fontId="10" fillId="6" borderId="3" xfId="0" applyFont="1" applyFill="1" applyBorder="1" applyAlignment="1" applyProtection="1">
      <alignment horizontal="left" vertical="center"/>
      <protection locked="0"/>
    </xf>
    <xf numFmtId="0" fontId="0" fillId="0" borderId="5" xfId="0" applyBorder="1" applyAlignment="1" applyProtection="1">
      <alignment horizontal="right" vertical="center"/>
      <protection locked="0"/>
    </xf>
    <xf numFmtId="164" fontId="0" fillId="0" borderId="0" xfId="1" applyNumberFormat="1" applyFont="1" applyBorder="1" applyAlignment="1">
      <alignment horizontal="right" vertical="center" indent="1"/>
    </xf>
    <xf numFmtId="0" fontId="0" fillId="6" borderId="0" xfId="0" applyFill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right" vertical="center"/>
    </xf>
    <xf numFmtId="0" fontId="0" fillId="8" borderId="3" xfId="0" applyFill="1" applyBorder="1" applyAlignment="1" applyProtection="1">
      <alignment horizontal="right" vertical="center"/>
      <protection locked="0"/>
    </xf>
    <xf numFmtId="0" fontId="10" fillId="8" borderId="3" xfId="0" applyFont="1" applyFill="1" applyBorder="1" applyAlignment="1" applyProtection="1">
      <alignment horizontal="right" vertical="center" indent="2"/>
      <protection locked="0"/>
    </xf>
    <xf numFmtId="0" fontId="10" fillId="8" borderId="3" xfId="0" applyFont="1" applyFill="1" applyBorder="1" applyAlignment="1" applyProtection="1">
      <alignment horizontal="center" vertical="center"/>
      <protection locked="0"/>
    </xf>
    <xf numFmtId="165" fontId="10" fillId="8" borderId="3" xfId="1" applyNumberFormat="1" applyFont="1" applyFill="1" applyBorder="1" applyAlignment="1" applyProtection="1">
      <alignment horizontal="right" vertical="center"/>
      <protection locked="0"/>
    </xf>
    <xf numFmtId="0" fontId="10" fillId="8" borderId="1" xfId="0" applyFont="1" applyFill="1" applyBorder="1" applyAlignment="1">
      <alignment horizontal="right" vertical="center" indent="1"/>
    </xf>
    <xf numFmtId="14" fontId="1" fillId="8" borderId="3" xfId="0" applyNumberFormat="1" applyFont="1" applyFill="1" applyBorder="1" applyAlignment="1">
      <alignment horizontal="center" vertical="center"/>
    </xf>
    <xf numFmtId="0" fontId="3" fillId="8" borderId="4" xfId="0" applyFont="1" applyFill="1" applyBorder="1" applyAlignment="1" applyProtection="1">
      <alignment horizontal="center" vertical="center"/>
      <protection locked="0"/>
    </xf>
    <xf numFmtId="165" fontId="11" fillId="8" borderId="3" xfId="1" applyNumberFormat="1" applyFont="1" applyFill="1" applyBorder="1" applyAlignment="1" applyProtection="1">
      <alignment horizontal="right" vertical="center"/>
      <protection locked="0"/>
    </xf>
    <xf numFmtId="0" fontId="0" fillId="7" borderId="2" xfId="0" applyFill="1" applyBorder="1" applyAlignment="1" applyProtection="1">
      <alignment horizontal="right" vertical="center"/>
      <protection locked="0"/>
    </xf>
    <xf numFmtId="0" fontId="10" fillId="7" borderId="3" xfId="0" applyFont="1" applyFill="1" applyBorder="1" applyAlignment="1" applyProtection="1">
      <alignment horizontal="left" vertical="center"/>
      <protection locked="0"/>
    </xf>
    <xf numFmtId="0" fontId="0" fillId="7" borderId="3" xfId="0" applyFill="1" applyBorder="1" applyAlignment="1" applyProtection="1">
      <alignment horizontal="left" vertical="center"/>
      <protection locked="0"/>
    </xf>
    <xf numFmtId="0" fontId="10" fillId="7" borderId="3" xfId="0" applyFont="1" applyFill="1" applyBorder="1" applyAlignment="1" applyProtection="1">
      <alignment horizontal="right" vertical="center" indent="2"/>
      <protection locked="0"/>
    </xf>
    <xf numFmtId="0" fontId="10" fillId="7" borderId="4" xfId="0" applyFont="1" applyFill="1" applyBorder="1" applyAlignment="1" applyProtection="1">
      <alignment horizontal="center" vertical="center"/>
      <protection locked="0"/>
    </xf>
    <xf numFmtId="165" fontId="10" fillId="7" borderId="4" xfId="1" applyNumberFormat="1" applyFont="1" applyFill="1" applyBorder="1" applyAlignment="1" applyProtection="1">
      <alignment horizontal="right" vertical="center"/>
      <protection locked="0"/>
    </xf>
    <xf numFmtId="0" fontId="10" fillId="7" borderId="1" xfId="0" applyFont="1" applyFill="1" applyBorder="1" applyAlignment="1">
      <alignment horizontal="right" vertical="center" indent="1"/>
    </xf>
    <xf numFmtId="14" fontId="1" fillId="7" borderId="3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vertical="center"/>
    </xf>
    <xf numFmtId="0" fontId="15" fillId="8" borderId="3" xfId="0" applyFont="1" applyFill="1" applyBorder="1" applyAlignment="1" applyProtection="1">
      <alignment horizontal="right" vertical="center"/>
      <protection locked="0"/>
    </xf>
    <xf numFmtId="0" fontId="16" fillId="8" borderId="3" xfId="0" applyFont="1" applyFill="1" applyBorder="1" applyAlignment="1" applyProtection="1">
      <alignment horizontal="left" vertical="center"/>
      <protection locked="0"/>
    </xf>
    <xf numFmtId="0" fontId="15" fillId="8" borderId="3" xfId="0" applyFont="1" applyFill="1" applyBorder="1" applyAlignment="1" applyProtection="1">
      <alignment horizontal="left" vertical="center"/>
      <protection locked="0"/>
    </xf>
    <xf numFmtId="0" fontId="16" fillId="8" borderId="3" xfId="0" applyFont="1" applyFill="1" applyBorder="1" applyAlignment="1" applyProtection="1">
      <alignment horizontal="right" vertical="center" indent="2"/>
      <protection locked="0"/>
    </xf>
    <xf numFmtId="0" fontId="16" fillId="8" borderId="3" xfId="0" applyFont="1" applyFill="1" applyBorder="1" applyAlignment="1" applyProtection="1">
      <alignment horizontal="center" vertical="center"/>
      <protection locked="0"/>
    </xf>
    <xf numFmtId="165" fontId="16" fillId="8" borderId="3" xfId="1" applyNumberFormat="1" applyFont="1" applyFill="1" applyBorder="1" applyAlignment="1" applyProtection="1">
      <alignment horizontal="right" vertical="center"/>
      <protection locked="0"/>
    </xf>
    <xf numFmtId="0" fontId="16" fillId="8" borderId="1" xfId="0" applyFont="1" applyFill="1" applyBorder="1" applyAlignment="1">
      <alignment horizontal="right" vertical="center" indent="1"/>
    </xf>
    <xf numFmtId="14" fontId="18" fillId="8" borderId="3" xfId="0" applyNumberFormat="1" applyFont="1" applyFill="1" applyBorder="1" applyAlignment="1">
      <alignment horizontal="center" vertical="center"/>
    </xf>
    <xf numFmtId="0" fontId="17" fillId="8" borderId="4" xfId="0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165" fontId="10" fillId="0" borderId="4" xfId="1" applyNumberFormat="1" applyFont="1" applyFill="1" applyBorder="1" applyAlignment="1" applyProtection="1">
      <alignment horizontal="center" vertical="center"/>
      <protection locked="0"/>
    </xf>
    <xf numFmtId="0" fontId="15" fillId="7" borderId="3" xfId="0" applyFont="1" applyFill="1" applyBorder="1" applyAlignment="1" applyProtection="1">
      <alignment horizontal="right" vertical="center"/>
      <protection locked="0"/>
    </xf>
    <xf numFmtId="0" fontId="16" fillId="7" borderId="3" xfId="0" applyFont="1" applyFill="1" applyBorder="1" applyAlignment="1" applyProtection="1">
      <alignment horizontal="left" vertical="center"/>
      <protection locked="0"/>
    </xf>
    <xf numFmtId="0" fontId="15" fillId="7" borderId="3" xfId="0" applyFont="1" applyFill="1" applyBorder="1" applyAlignment="1" applyProtection="1">
      <alignment horizontal="left" vertical="center"/>
      <protection locked="0"/>
    </xf>
    <xf numFmtId="0" fontId="16" fillId="7" borderId="3" xfId="0" applyFont="1" applyFill="1" applyBorder="1" applyAlignment="1" applyProtection="1">
      <alignment horizontal="right" vertical="center" indent="2"/>
      <protection locked="0"/>
    </xf>
    <xf numFmtId="0" fontId="16" fillId="7" borderId="3" xfId="0" applyFont="1" applyFill="1" applyBorder="1" applyAlignment="1" applyProtection="1">
      <alignment horizontal="center" vertical="center"/>
      <protection locked="0"/>
    </xf>
    <xf numFmtId="165" fontId="16" fillId="7" borderId="3" xfId="1" applyNumberFormat="1" applyFont="1" applyFill="1" applyBorder="1" applyAlignment="1" applyProtection="1">
      <alignment horizontal="right" vertical="center"/>
      <protection locked="0"/>
    </xf>
    <xf numFmtId="0" fontId="16" fillId="7" borderId="1" xfId="0" applyFont="1" applyFill="1" applyBorder="1" applyAlignment="1">
      <alignment horizontal="right" vertical="center" indent="1"/>
    </xf>
    <xf numFmtId="14" fontId="18" fillId="7" borderId="3" xfId="0" applyNumberFormat="1" applyFont="1" applyFill="1" applyBorder="1" applyAlignment="1">
      <alignment horizontal="center" vertical="center"/>
    </xf>
    <xf numFmtId="0" fontId="17" fillId="7" borderId="4" xfId="0" applyFont="1" applyFill="1" applyBorder="1" applyAlignment="1" applyProtection="1">
      <alignment horizontal="center" vertical="center"/>
      <protection locked="0"/>
    </xf>
    <xf numFmtId="0" fontId="0" fillId="7" borderId="3" xfId="0" applyFill="1" applyBorder="1" applyAlignment="1" applyProtection="1">
      <alignment horizontal="right" vertical="center"/>
      <protection locked="0"/>
    </xf>
    <xf numFmtId="0" fontId="10" fillId="7" borderId="3" xfId="0" applyFont="1" applyFill="1" applyBorder="1" applyAlignment="1" applyProtection="1">
      <alignment horizontal="center" vertical="center"/>
      <protection locked="0"/>
    </xf>
    <xf numFmtId="165" fontId="10" fillId="7" borderId="3" xfId="1" applyNumberFormat="1" applyFont="1" applyFill="1" applyBorder="1" applyAlignment="1" applyProtection="1">
      <alignment horizontal="right" vertical="center"/>
      <protection locked="0"/>
    </xf>
    <xf numFmtId="165" fontId="11" fillId="7" borderId="3" xfId="1" applyNumberFormat="1" applyFont="1" applyFill="1" applyBorder="1" applyAlignment="1" applyProtection="1">
      <alignment horizontal="right" vertical="center"/>
      <protection locked="0"/>
    </xf>
    <xf numFmtId="16" fontId="3" fillId="7" borderId="4" xfId="0" applyNumberFormat="1" applyFont="1" applyFill="1" applyBorder="1" applyAlignment="1" applyProtection="1">
      <alignment horizontal="center" vertical="center"/>
      <protection locked="0"/>
    </xf>
    <xf numFmtId="16" fontId="3" fillId="10" borderId="4" xfId="0" applyNumberFormat="1" applyFont="1" applyFill="1" applyBorder="1" applyAlignment="1" applyProtection="1">
      <alignment horizontal="center" vertical="center"/>
      <protection locked="0"/>
    </xf>
    <xf numFmtId="0" fontId="0" fillId="6" borderId="0" xfId="0" applyFill="1" applyAlignment="1">
      <alignment vertical="center"/>
    </xf>
    <xf numFmtId="16" fontId="3" fillId="0" borderId="4" xfId="0" applyNumberFormat="1" applyFont="1" applyBorder="1" applyAlignment="1" applyProtection="1">
      <alignment horizontal="center" vertical="center"/>
      <protection locked="0"/>
    </xf>
    <xf numFmtId="0" fontId="0" fillId="11" borderId="0" xfId="0" applyFill="1" applyAlignment="1">
      <alignment vertical="center"/>
    </xf>
    <xf numFmtId="0" fontId="0" fillId="11" borderId="0" xfId="0" applyFill="1" applyAlignment="1">
      <alignment horizontal="left" vertical="center"/>
    </xf>
    <xf numFmtId="0" fontId="0" fillId="10" borderId="0" xfId="0" applyFill="1" applyAlignment="1">
      <alignment vertical="center"/>
    </xf>
    <xf numFmtId="0" fontId="0" fillId="11" borderId="0" xfId="0" applyFill="1" applyAlignment="1" applyProtection="1">
      <alignment horizontal="right" vertical="center"/>
      <protection locked="0"/>
    </xf>
    <xf numFmtId="14" fontId="3" fillId="2" borderId="2" xfId="0" applyNumberFormat="1" applyFont="1" applyFill="1" applyBorder="1" applyAlignment="1" applyProtection="1">
      <alignment horizontal="center" vertical="center"/>
      <protection locked="0"/>
    </xf>
    <xf numFmtId="14" fontId="3" fillId="2" borderId="3" xfId="0" applyNumberFormat="1" applyFont="1" applyFill="1" applyBorder="1" applyAlignment="1" applyProtection="1">
      <alignment horizontal="center" vertical="center"/>
      <protection locked="0"/>
    </xf>
    <xf numFmtId="14" fontId="3" fillId="0" borderId="3" xfId="0" applyNumberFormat="1" applyFont="1" applyBorder="1" applyAlignment="1">
      <alignment horizontal="center" vertical="center"/>
    </xf>
    <xf numFmtId="0" fontId="10" fillId="7" borderId="3" xfId="0" applyFont="1" applyFill="1" applyBorder="1" applyAlignment="1" applyProtection="1">
      <alignment horizontal="left" vertical="center"/>
      <protection locked="0"/>
    </xf>
    <xf numFmtId="0" fontId="0" fillId="7" borderId="3" xfId="0" applyFill="1" applyBorder="1" applyAlignment="1" applyProtection="1">
      <alignment horizontal="left" vertical="center"/>
      <protection locked="0"/>
    </xf>
    <xf numFmtId="14" fontId="3" fillId="7" borderId="2" xfId="0" applyNumberFormat="1" applyFont="1" applyFill="1" applyBorder="1" applyAlignment="1" applyProtection="1">
      <alignment horizontal="center" vertical="center"/>
      <protection locked="0"/>
    </xf>
    <xf numFmtId="14" fontId="3" fillId="7" borderId="3" xfId="0" applyNumberFormat="1" applyFont="1" applyFill="1" applyBorder="1" applyAlignment="1" applyProtection="1">
      <alignment horizontal="center" vertical="center"/>
      <protection locked="0"/>
    </xf>
    <xf numFmtId="14" fontId="3" fillId="7" borderId="3" xfId="0" applyNumberFormat="1" applyFont="1" applyFill="1" applyBorder="1" applyAlignment="1">
      <alignment horizontal="center" vertical="center"/>
    </xf>
    <xf numFmtId="14" fontId="17" fillId="7" borderId="2" xfId="0" applyNumberFormat="1" applyFont="1" applyFill="1" applyBorder="1" applyAlignment="1" applyProtection="1">
      <alignment horizontal="center" vertical="center"/>
      <protection locked="0"/>
    </xf>
    <xf numFmtId="14" fontId="17" fillId="7" borderId="3" xfId="0" applyNumberFormat="1" applyFont="1" applyFill="1" applyBorder="1" applyAlignment="1" applyProtection="1">
      <alignment horizontal="center" vertical="center"/>
      <protection locked="0"/>
    </xf>
    <xf numFmtId="14" fontId="17" fillId="7" borderId="3" xfId="0" applyNumberFormat="1" applyFont="1" applyFill="1" applyBorder="1" applyAlignment="1">
      <alignment horizontal="center" vertical="center"/>
    </xf>
    <xf numFmtId="0" fontId="10" fillId="0" borderId="6" xfId="0" applyFont="1" applyBorder="1" applyAlignment="1" applyProtection="1">
      <alignment horizontal="left" vertical="center"/>
      <protection locked="0"/>
    </xf>
    <xf numFmtId="0" fontId="0" fillId="0" borderId="6" xfId="0" applyBorder="1" applyAlignment="1" applyProtection="1">
      <alignment horizontal="left" vertical="center"/>
      <protection locked="0"/>
    </xf>
    <xf numFmtId="0" fontId="10" fillId="0" borderId="3" xfId="0" applyFont="1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12" fillId="4" borderId="6" xfId="0" applyNumberFormat="1" applyFont="1" applyFill="1" applyBorder="1" applyAlignment="1" applyProtection="1">
      <alignment horizontal="center" vertical="center"/>
      <protection locked="0"/>
    </xf>
    <xf numFmtId="0" fontId="1" fillId="2" borderId="9" xfId="0" applyFont="1" applyFill="1" applyBorder="1" applyAlignment="1">
      <alignment horizontal="center" vertical="center" wrapText="1"/>
    </xf>
    <xf numFmtId="14" fontId="13" fillId="7" borderId="2" xfId="0" applyNumberFormat="1" applyFont="1" applyFill="1" applyBorder="1" applyAlignment="1" applyProtection="1">
      <alignment horizontal="center" vertical="center"/>
      <protection locked="0"/>
    </xf>
    <xf numFmtId="14" fontId="13" fillId="7" borderId="3" xfId="0" applyNumberFormat="1" applyFont="1" applyFill="1" applyBorder="1" applyAlignment="1" applyProtection="1">
      <alignment horizontal="center" vertical="center"/>
      <protection locked="0"/>
    </xf>
    <xf numFmtId="0" fontId="14" fillId="8" borderId="7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14" fontId="17" fillId="8" borderId="2" xfId="0" applyNumberFormat="1" applyFont="1" applyFill="1" applyBorder="1" applyAlignment="1" applyProtection="1">
      <alignment horizontal="center" vertical="center"/>
      <protection locked="0"/>
    </xf>
    <xf numFmtId="14" fontId="17" fillId="8" borderId="3" xfId="0" applyNumberFormat="1" applyFont="1" applyFill="1" applyBorder="1" applyAlignment="1" applyProtection="1">
      <alignment horizontal="center" vertical="center"/>
      <protection locked="0"/>
    </xf>
    <xf numFmtId="14" fontId="17" fillId="8" borderId="3" xfId="0" applyNumberFormat="1" applyFont="1" applyFill="1" applyBorder="1" applyAlignment="1">
      <alignment horizontal="center" vertical="center"/>
    </xf>
    <xf numFmtId="0" fontId="10" fillId="8" borderId="3" xfId="0" applyFont="1" applyFill="1" applyBorder="1" applyAlignment="1" applyProtection="1">
      <alignment horizontal="left" vertical="center"/>
      <protection locked="0"/>
    </xf>
    <xf numFmtId="0" fontId="0" fillId="8" borderId="3" xfId="0" applyFill="1" applyBorder="1" applyAlignment="1" applyProtection="1">
      <alignment horizontal="left" vertical="center"/>
      <protection locked="0"/>
    </xf>
    <xf numFmtId="14" fontId="3" fillId="8" borderId="2" xfId="0" applyNumberFormat="1" applyFont="1" applyFill="1" applyBorder="1" applyAlignment="1" applyProtection="1">
      <alignment horizontal="center" vertical="center"/>
      <protection locked="0"/>
    </xf>
    <xf numFmtId="14" fontId="3" fillId="8" borderId="3" xfId="0" applyNumberFormat="1" applyFont="1" applyFill="1" applyBorder="1" applyAlignment="1" applyProtection="1">
      <alignment horizontal="center" vertical="center"/>
      <protection locked="0"/>
    </xf>
    <xf numFmtId="14" fontId="3" fillId="8" borderId="3" xfId="0" applyNumberFormat="1" applyFont="1" applyFill="1" applyBorder="1" applyAlignment="1">
      <alignment horizontal="center" vertical="center"/>
    </xf>
    <xf numFmtId="14" fontId="13" fillId="8" borderId="2" xfId="0" applyNumberFormat="1" applyFont="1" applyFill="1" applyBorder="1" applyAlignment="1" applyProtection="1">
      <alignment horizontal="center" vertical="center"/>
      <protection locked="0"/>
    </xf>
    <xf numFmtId="14" fontId="13" fillId="8" borderId="3" xfId="0" applyNumberFormat="1" applyFont="1" applyFill="1" applyBorder="1" applyAlignment="1" applyProtection="1">
      <alignment horizontal="center" vertical="center"/>
      <protection locked="0"/>
    </xf>
    <xf numFmtId="0" fontId="0" fillId="9" borderId="0" xfId="0" applyFill="1" applyAlignment="1">
      <alignment horizontal="left" vertical="center"/>
    </xf>
  </cellXfs>
  <cellStyles count="2">
    <cellStyle name="Normal" xfId="0" builtinId="0"/>
    <cellStyle name="Vírgula" xfId="1" builtinId="3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13607</xdr:colOff>
      <xdr:row>0</xdr:row>
      <xdr:rowOff>0</xdr:rowOff>
    </xdr:from>
    <xdr:to>
      <xdr:col>1</xdr:col>
      <xdr:colOff>857211</xdr:colOff>
      <xdr:row>0</xdr:row>
      <xdr:rowOff>543899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7" y="0"/>
          <a:ext cx="1424629" cy="5438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13607</xdr:colOff>
      <xdr:row>0</xdr:row>
      <xdr:rowOff>0</xdr:rowOff>
    </xdr:from>
    <xdr:to>
      <xdr:col>1</xdr:col>
      <xdr:colOff>857211</xdr:colOff>
      <xdr:row>0</xdr:row>
      <xdr:rowOff>543899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C86FE92-A8A0-481E-90C6-8119EAD19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7" y="0"/>
          <a:ext cx="1424629" cy="543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24"/>
  <sheetViews>
    <sheetView showGridLines="0" tabSelected="1" zoomScale="85" zoomScaleNormal="85" workbookViewId="0">
      <pane ySplit="1" topLeftCell="A55" activePane="bottomLeft" state="frozen"/>
      <selection pane="bottomLeft" activeCell="R77" sqref="R77"/>
    </sheetView>
  </sheetViews>
  <sheetFormatPr defaultColWidth="0" defaultRowHeight="0" customHeight="1" zeroHeight="1" x14ac:dyDescent="0.25"/>
  <cols>
    <col min="1" max="1" width="8.7109375" style="39" customWidth="1"/>
    <col min="2" max="2" width="38.140625" style="2" customWidth="1"/>
    <col min="3" max="3" width="9.42578125" style="34" customWidth="1"/>
    <col min="4" max="4" width="33" style="34" bestFit="1" customWidth="1"/>
    <col min="5" max="5" width="17.28515625" style="7" customWidth="1"/>
    <col min="6" max="6" width="9.140625" style="5" customWidth="1"/>
    <col min="7" max="7" width="9" style="1" customWidth="1"/>
    <col min="8" max="8" width="10.7109375" style="1" customWidth="1"/>
    <col min="9" max="9" width="9.7109375" style="1" customWidth="1"/>
    <col min="10" max="10" width="6.7109375" style="1" customWidth="1"/>
    <col min="11" max="11" width="10.7109375" style="10" customWidth="1"/>
    <col min="12" max="12" width="13.28515625" style="1" bestFit="1" customWidth="1"/>
    <col min="13" max="13" width="9.85546875" style="1" customWidth="1"/>
    <col min="14" max="14" width="8.28515625" style="1" customWidth="1"/>
    <col min="15" max="15" width="10.140625" style="7" customWidth="1"/>
    <col min="16" max="16" width="28.140625" style="2" bestFit="1" customWidth="1"/>
    <col min="17" max="17" width="8.7109375" style="2" customWidth="1"/>
    <col min="18" max="18" width="39.42578125" style="2" customWidth="1"/>
    <col min="19" max="19" width="1.7109375" style="2" customWidth="1"/>
    <col min="20" max="20" width="0" style="2" hidden="1" customWidth="1"/>
    <col min="21" max="16384" width="9.140625" style="2" hidden="1"/>
  </cols>
  <sheetData>
    <row r="1" spans="1:19" ht="43.5" customHeight="1" x14ac:dyDescent="0.25">
      <c r="A1" s="2"/>
      <c r="B1" s="3" t="s">
        <v>5</v>
      </c>
      <c r="C1" s="12"/>
      <c r="D1" s="12"/>
      <c r="E1" s="9"/>
      <c r="M1" s="10" t="s">
        <v>14</v>
      </c>
      <c r="N1" s="120">
        <v>46169</v>
      </c>
      <c r="O1" s="120"/>
    </row>
    <row r="2" spans="1:19" ht="28.5" customHeight="1" x14ac:dyDescent="0.25">
      <c r="A2" s="109" t="s">
        <v>3</v>
      </c>
      <c r="B2" s="110"/>
      <c r="C2" s="111"/>
      <c r="D2" s="20" t="s">
        <v>15</v>
      </c>
      <c r="E2" s="14" t="s">
        <v>16</v>
      </c>
      <c r="F2" s="112" t="s">
        <v>18</v>
      </c>
      <c r="G2" s="113"/>
      <c r="H2" s="114"/>
      <c r="I2" s="112" t="s">
        <v>17</v>
      </c>
      <c r="J2" s="113"/>
      <c r="K2" s="114"/>
      <c r="L2" s="22" t="s">
        <v>2</v>
      </c>
      <c r="M2" s="115" t="s">
        <v>6</v>
      </c>
      <c r="N2" s="116"/>
      <c r="O2" s="117"/>
      <c r="P2" s="15" t="s">
        <v>81</v>
      </c>
    </row>
    <row r="3" spans="1:19" ht="21.75" customHeight="1" x14ac:dyDescent="0.25">
      <c r="A3" s="27" t="s">
        <v>47</v>
      </c>
      <c r="B3" s="25" t="s">
        <v>78</v>
      </c>
      <c r="C3" s="26"/>
      <c r="D3" s="18">
        <v>18</v>
      </c>
      <c r="E3" s="28"/>
      <c r="F3" s="89">
        <v>46142</v>
      </c>
      <c r="G3" s="90"/>
      <c r="H3" s="21">
        <v>5620</v>
      </c>
      <c r="I3" s="89">
        <v>46164</v>
      </c>
      <c r="J3" s="90"/>
      <c r="K3" s="21"/>
      <c r="L3" s="23">
        <f t="shared" ref="L3" si="0">I3-F3</f>
        <v>22</v>
      </c>
      <c r="M3" s="91">
        <f t="shared" ref="M3" si="1">IF(WEEKDAY((I3+D3))=7,(I3+D3)-1,IF(WEEKDAY((I3+D3))=1,(I3+D3)-2,(I3+D3)))</f>
        <v>46182</v>
      </c>
      <c r="N3" s="91"/>
      <c r="O3" s="4" t="str">
        <f t="shared" ref="O3" si="2">IFERROR(TEXT(WEEKDAY(M3),"ddd"),"")</f>
        <v>ter</v>
      </c>
      <c r="P3" s="19"/>
    </row>
    <row r="4" spans="1:19" ht="23.1" customHeight="1" x14ac:dyDescent="0.25">
      <c r="A4" s="27" t="s">
        <v>48</v>
      </c>
      <c r="B4" s="25" t="s">
        <v>46</v>
      </c>
      <c r="C4" s="26"/>
      <c r="D4" s="30">
        <v>3</v>
      </c>
      <c r="E4" s="28"/>
      <c r="F4" s="89">
        <v>46168</v>
      </c>
      <c r="G4" s="90"/>
      <c r="H4" s="21">
        <v>6770</v>
      </c>
      <c r="I4" s="89">
        <v>46171</v>
      </c>
      <c r="J4" s="90"/>
      <c r="K4" s="21"/>
      <c r="L4" s="23">
        <f t="shared" ref="L4:L28" si="3">I4-F4</f>
        <v>3</v>
      </c>
      <c r="M4" s="91">
        <f t="shared" ref="M4:M5" si="4">IF(WEEKDAY((I4+D4))=7,(I4+D4)-1,IF(WEEKDAY((I4+D4))=1,(I4+D4)-2,(I4+D4)))</f>
        <v>46174</v>
      </c>
      <c r="N4" s="91"/>
      <c r="O4" s="4" t="str">
        <f t="shared" ref="O4:O28" si="5">IFERROR(TEXT(WEEKDAY(M4),"ddd"),"")</f>
        <v>seg</v>
      </c>
      <c r="P4" s="19" t="s">
        <v>111</v>
      </c>
    </row>
    <row r="5" spans="1:19" ht="23.1" customHeight="1" x14ac:dyDescent="0.25">
      <c r="A5" s="27" t="s">
        <v>106</v>
      </c>
      <c r="B5" s="25" t="s">
        <v>107</v>
      </c>
      <c r="C5" s="26"/>
      <c r="D5" s="30">
        <v>20</v>
      </c>
      <c r="E5" s="28"/>
      <c r="F5" s="89">
        <v>46140</v>
      </c>
      <c r="G5" s="90"/>
      <c r="H5" s="21">
        <v>3670</v>
      </c>
      <c r="I5" s="89">
        <v>46160</v>
      </c>
      <c r="J5" s="90"/>
      <c r="K5" s="21"/>
      <c r="L5" s="23">
        <f t="shared" ref="L5" si="6">I5-F5</f>
        <v>20</v>
      </c>
      <c r="M5" s="91">
        <f t="shared" si="4"/>
        <v>46178</v>
      </c>
      <c r="N5" s="91"/>
      <c r="O5" s="4" t="str">
        <f t="shared" ref="O5" si="7">IFERROR(TEXT(WEEKDAY(M5),"ddd"),"")</f>
        <v>sex</v>
      </c>
      <c r="P5" s="19"/>
    </row>
    <row r="6" spans="1:19" ht="23.1" customHeight="1" x14ac:dyDescent="0.25">
      <c r="A6" s="27" t="s">
        <v>33</v>
      </c>
      <c r="B6" s="25" t="s">
        <v>34</v>
      </c>
      <c r="C6" s="26"/>
      <c r="D6" s="30">
        <v>20</v>
      </c>
      <c r="E6" s="28"/>
      <c r="F6" s="89">
        <v>46148</v>
      </c>
      <c r="G6" s="90"/>
      <c r="H6" s="21">
        <v>3670</v>
      </c>
      <c r="I6" s="89">
        <v>46168</v>
      </c>
      <c r="J6" s="90"/>
      <c r="K6" s="21"/>
      <c r="L6" s="23">
        <f t="shared" si="3"/>
        <v>20</v>
      </c>
      <c r="M6" s="91">
        <f t="shared" ref="M6:M20" si="8">IF(WEEKDAY((I6+D6))=7,(I6+D6)-1,IF(WEEKDAY((I6+D6))=1,(I6+D6)-2,(I6+D6)))</f>
        <v>46188</v>
      </c>
      <c r="N6" s="91"/>
      <c r="O6" s="4" t="str">
        <f t="shared" si="5"/>
        <v>seg</v>
      </c>
      <c r="P6" s="19"/>
    </row>
    <row r="7" spans="1:19" s="56" customFormat="1" ht="23.1" customHeight="1" x14ac:dyDescent="0.25">
      <c r="A7" s="27" t="s">
        <v>56</v>
      </c>
      <c r="B7" s="25" t="s">
        <v>57</v>
      </c>
      <c r="C7" s="26"/>
      <c r="D7" s="18">
        <v>20</v>
      </c>
      <c r="E7" s="28"/>
      <c r="F7" s="89">
        <v>46149</v>
      </c>
      <c r="G7" s="90"/>
      <c r="H7" s="21">
        <v>6460</v>
      </c>
      <c r="I7" s="89">
        <v>46169</v>
      </c>
      <c r="J7" s="90"/>
      <c r="K7" s="21"/>
      <c r="L7" s="23">
        <f t="shared" si="3"/>
        <v>20</v>
      </c>
      <c r="M7" s="91">
        <f t="shared" si="8"/>
        <v>46189</v>
      </c>
      <c r="N7" s="91"/>
      <c r="O7" s="4" t="str">
        <f t="shared" si="5"/>
        <v>ter</v>
      </c>
      <c r="P7" s="19"/>
      <c r="Q7" s="2"/>
      <c r="R7" s="2"/>
      <c r="S7" s="2"/>
    </row>
    <row r="8" spans="1:19" ht="23.1" customHeight="1" x14ac:dyDescent="0.25">
      <c r="A8" s="27" t="s">
        <v>101</v>
      </c>
      <c r="B8" s="25" t="s">
        <v>102</v>
      </c>
      <c r="C8" s="26"/>
      <c r="D8" s="30">
        <v>15</v>
      </c>
      <c r="E8" s="28"/>
      <c r="F8" s="89">
        <v>46149</v>
      </c>
      <c r="G8" s="90"/>
      <c r="H8" s="21">
        <v>4530</v>
      </c>
      <c r="I8" s="89">
        <v>46163</v>
      </c>
      <c r="J8" s="90"/>
      <c r="K8" s="21">
        <v>4800</v>
      </c>
      <c r="L8" s="23">
        <f t="shared" si="3"/>
        <v>14</v>
      </c>
      <c r="M8" s="91">
        <f t="shared" ref="M8" si="9">IF(WEEKDAY((I8+D8))=7,(I8+D8)-1,IF(WEEKDAY((I8+D8))=1,(I8+D8)-2,(I8+D8)))</f>
        <v>46178</v>
      </c>
      <c r="N8" s="91"/>
      <c r="O8" s="4" t="str">
        <f t="shared" si="5"/>
        <v>sex</v>
      </c>
      <c r="P8" s="19"/>
    </row>
    <row r="9" spans="1:19" ht="23.1" customHeight="1" x14ac:dyDescent="0.25">
      <c r="A9" s="27" t="s">
        <v>54</v>
      </c>
      <c r="B9" s="25" t="s">
        <v>53</v>
      </c>
      <c r="C9" s="26"/>
      <c r="D9" s="30">
        <v>20</v>
      </c>
      <c r="E9" s="28"/>
      <c r="F9" s="89">
        <v>46135</v>
      </c>
      <c r="G9" s="90"/>
      <c r="H9" s="21">
        <v>4530</v>
      </c>
      <c r="I9" s="89">
        <v>46155</v>
      </c>
      <c r="J9" s="90"/>
      <c r="K9" s="21">
        <v>4800</v>
      </c>
      <c r="L9" s="23">
        <f t="shared" ref="L9" si="10">I9-F9</f>
        <v>20</v>
      </c>
      <c r="M9" s="91">
        <f t="shared" si="8"/>
        <v>46175</v>
      </c>
      <c r="N9" s="91"/>
      <c r="O9" s="4" t="str">
        <f t="shared" ref="O9" si="11">IFERROR(TEXT(WEEKDAY(M9),"ddd"),"")</f>
        <v>ter</v>
      </c>
      <c r="P9" s="19"/>
    </row>
    <row r="10" spans="1:19" ht="23.1" customHeight="1" x14ac:dyDescent="0.25">
      <c r="A10" s="27" t="s">
        <v>22</v>
      </c>
      <c r="B10" s="25" t="s">
        <v>39</v>
      </c>
      <c r="C10" s="26"/>
      <c r="D10" s="30">
        <v>20</v>
      </c>
      <c r="E10" s="28" t="s">
        <v>0</v>
      </c>
      <c r="F10" s="89">
        <v>46150</v>
      </c>
      <c r="G10" s="90"/>
      <c r="H10" s="21">
        <v>5390</v>
      </c>
      <c r="I10" s="89">
        <v>46170</v>
      </c>
      <c r="J10" s="90"/>
      <c r="K10" s="21"/>
      <c r="L10" s="23">
        <f t="shared" ref="L10" si="12">I10-F10</f>
        <v>20</v>
      </c>
      <c r="M10" s="91">
        <f t="shared" si="8"/>
        <v>46190</v>
      </c>
      <c r="N10" s="91"/>
      <c r="O10" s="4" t="str">
        <f t="shared" ref="O10" si="13">IFERROR(TEXT(WEEKDAY(M10),"ddd"),"")</f>
        <v>qua</v>
      </c>
      <c r="P10" s="19"/>
    </row>
    <row r="11" spans="1:19" ht="23.1" customHeight="1" x14ac:dyDescent="0.25">
      <c r="A11" s="27" t="s">
        <v>23</v>
      </c>
      <c r="B11" s="25" t="s">
        <v>40</v>
      </c>
      <c r="C11" s="26"/>
      <c r="D11" s="30">
        <v>14</v>
      </c>
      <c r="E11" s="28" t="s">
        <v>0</v>
      </c>
      <c r="F11" s="89">
        <v>46146</v>
      </c>
      <c r="G11" s="90"/>
      <c r="H11" s="21">
        <v>6910</v>
      </c>
      <c r="I11" s="89">
        <v>46160</v>
      </c>
      <c r="J11" s="90"/>
      <c r="K11" s="21"/>
      <c r="L11" s="23">
        <f t="shared" si="3"/>
        <v>14</v>
      </c>
      <c r="M11" s="91">
        <f t="shared" si="8"/>
        <v>46174</v>
      </c>
      <c r="N11" s="91"/>
      <c r="O11" s="4" t="str">
        <f>IFERROR(TEXT(WEEKDAY(M11),"ddd"),"")</f>
        <v>seg</v>
      </c>
      <c r="P11" s="19"/>
    </row>
    <row r="12" spans="1:19" ht="23.1" customHeight="1" x14ac:dyDescent="0.25">
      <c r="A12" s="27" t="s">
        <v>72</v>
      </c>
      <c r="B12" s="25" t="s">
        <v>70</v>
      </c>
      <c r="C12" s="26"/>
      <c r="D12" s="30">
        <v>20</v>
      </c>
      <c r="E12" s="28"/>
      <c r="F12" s="89">
        <v>46147</v>
      </c>
      <c r="G12" s="90"/>
      <c r="H12" s="21">
        <v>2940</v>
      </c>
      <c r="I12" s="89">
        <v>46167</v>
      </c>
      <c r="J12" s="90"/>
      <c r="K12" s="67"/>
      <c r="L12" s="23">
        <f t="shared" ref="L12" si="14">I12-F12</f>
        <v>20</v>
      </c>
      <c r="M12" s="91">
        <f>IF(WEEKDAY((I12+D12))=7,(I12+D12)-1,IF(WEEKDAY((I12+D12))=1,(I12+D12)-2,(I12+D12)))</f>
        <v>46185</v>
      </c>
      <c r="N12" s="91"/>
      <c r="O12" s="4" t="str">
        <f t="shared" ref="O12" si="15">IFERROR(TEXT(WEEKDAY(M12),"ddd"),"")</f>
        <v>sex</v>
      </c>
      <c r="P12" s="19"/>
    </row>
    <row r="13" spans="1:19" ht="23.1" customHeight="1" x14ac:dyDescent="0.25">
      <c r="A13" s="27" t="s">
        <v>75</v>
      </c>
      <c r="B13" s="102" t="s">
        <v>76</v>
      </c>
      <c r="C13" s="102"/>
      <c r="D13" s="18">
        <v>20</v>
      </c>
      <c r="E13" s="28"/>
      <c r="F13" s="89">
        <v>46112</v>
      </c>
      <c r="G13" s="90"/>
      <c r="H13" s="21">
        <v>5870</v>
      </c>
      <c r="I13" s="89">
        <v>46132</v>
      </c>
      <c r="J13" s="90"/>
      <c r="K13" s="21">
        <v>4100</v>
      </c>
      <c r="L13" s="23">
        <f t="shared" ref="L13:L16" si="16">I13-F13</f>
        <v>20</v>
      </c>
      <c r="M13" s="91">
        <v>46175</v>
      </c>
      <c r="N13" s="91"/>
      <c r="O13" s="4" t="str">
        <f t="shared" ref="O13:O16" si="17">IFERROR(TEXT(WEEKDAY(M13),"ddd"),"")</f>
        <v>ter</v>
      </c>
      <c r="P13" s="19" t="s">
        <v>122</v>
      </c>
    </row>
    <row r="14" spans="1:19" ht="21" x14ac:dyDescent="0.25">
      <c r="A14" s="27" t="s">
        <v>105</v>
      </c>
      <c r="B14" s="25" t="s">
        <v>121</v>
      </c>
      <c r="C14" s="26"/>
      <c r="D14" s="30">
        <v>20</v>
      </c>
      <c r="E14" s="28"/>
      <c r="F14" s="89">
        <v>46141</v>
      </c>
      <c r="G14" s="90"/>
      <c r="H14" s="21">
        <v>6240</v>
      </c>
      <c r="I14" s="89">
        <v>46161</v>
      </c>
      <c r="J14" s="90"/>
      <c r="K14" s="21"/>
      <c r="L14" s="23">
        <f t="shared" ref="L14" si="18">I14-F14</f>
        <v>20</v>
      </c>
      <c r="M14" s="91">
        <f t="shared" ref="M14:M15" si="19">IF(WEEKDAY((I14+D14))=7,(I14+D14)-1,IF(WEEKDAY((I14+D14))=1,(I14+D14)-2,(I14+D14)))</f>
        <v>46181</v>
      </c>
      <c r="N14" s="91"/>
      <c r="O14" s="4" t="str">
        <f t="shared" ref="O14:O15" si="20">IFERROR(TEXT(WEEKDAY(M14),"ddd"),"")</f>
        <v>seg</v>
      </c>
      <c r="P14" s="19"/>
    </row>
    <row r="15" spans="1:19" ht="23.25" customHeight="1" x14ac:dyDescent="0.25">
      <c r="A15" s="27" t="s">
        <v>113</v>
      </c>
      <c r="B15" s="25" t="s">
        <v>112</v>
      </c>
      <c r="C15" s="26"/>
      <c r="D15" s="30">
        <v>20</v>
      </c>
      <c r="E15" s="28"/>
      <c r="F15" s="89">
        <v>46153</v>
      </c>
      <c r="G15" s="90"/>
      <c r="H15" s="21">
        <v>6240</v>
      </c>
      <c r="I15" s="89">
        <v>46164</v>
      </c>
      <c r="J15" s="90"/>
      <c r="K15" s="21"/>
      <c r="L15" s="23">
        <f>I15-F15</f>
        <v>11</v>
      </c>
      <c r="M15" s="91">
        <f t="shared" si="19"/>
        <v>46184</v>
      </c>
      <c r="N15" s="91"/>
      <c r="O15" s="4" t="str">
        <f t="shared" si="20"/>
        <v>qui</v>
      </c>
      <c r="P15" s="84"/>
    </row>
    <row r="16" spans="1:19" ht="23.1" customHeight="1" x14ac:dyDescent="0.25">
      <c r="A16" s="27" t="s">
        <v>24</v>
      </c>
      <c r="B16" s="25" t="s">
        <v>118</v>
      </c>
      <c r="C16" s="26"/>
      <c r="D16" s="30">
        <v>13</v>
      </c>
      <c r="E16" s="28"/>
      <c r="F16" s="89">
        <v>46157</v>
      </c>
      <c r="G16" s="90"/>
      <c r="H16" s="21">
        <v>6240</v>
      </c>
      <c r="I16" s="89">
        <v>46170</v>
      </c>
      <c r="J16" s="90"/>
      <c r="K16" s="21"/>
      <c r="L16" s="23">
        <f t="shared" si="16"/>
        <v>13</v>
      </c>
      <c r="M16" s="91">
        <f t="shared" si="8"/>
        <v>46183</v>
      </c>
      <c r="N16" s="91"/>
      <c r="O16" s="4" t="str">
        <f t="shared" si="17"/>
        <v>qua</v>
      </c>
      <c r="P16" s="19"/>
    </row>
    <row r="17" spans="1:19" ht="23.1" customHeight="1" x14ac:dyDescent="0.25">
      <c r="A17" s="27" t="s">
        <v>99</v>
      </c>
      <c r="B17" s="25" t="s">
        <v>124</v>
      </c>
      <c r="C17" s="26"/>
      <c r="D17" s="30">
        <v>20</v>
      </c>
      <c r="E17" s="28"/>
      <c r="F17" s="89">
        <v>46142</v>
      </c>
      <c r="G17" s="90"/>
      <c r="H17" s="21">
        <v>6240</v>
      </c>
      <c r="I17" s="89">
        <v>46171</v>
      </c>
      <c r="J17" s="90"/>
      <c r="K17" s="21"/>
      <c r="L17" s="23">
        <f t="shared" ref="L17" si="21">I17-F17</f>
        <v>29</v>
      </c>
      <c r="M17" s="91">
        <f t="shared" ref="M17" si="22">IF(WEEKDAY((I17+D17))=7,(I17+D17)-1,IF(WEEKDAY((I17+D17))=1,(I17+D17)-2,(I17+D17)))</f>
        <v>46191</v>
      </c>
      <c r="N17" s="91"/>
      <c r="O17" s="4" t="str">
        <f t="shared" ref="O17" si="23">IFERROR(TEXT(WEEKDAY(M17),"ddd"),"")</f>
        <v>qui</v>
      </c>
      <c r="P17" s="19"/>
    </row>
    <row r="18" spans="1:19" ht="23.1" customHeight="1" x14ac:dyDescent="0.25">
      <c r="A18" s="27" t="s">
        <v>25</v>
      </c>
      <c r="B18" s="25" t="s">
        <v>80</v>
      </c>
      <c r="C18" s="26"/>
      <c r="D18" s="30">
        <v>16</v>
      </c>
      <c r="E18" s="28"/>
      <c r="F18" s="89">
        <v>46157</v>
      </c>
      <c r="G18" s="90"/>
      <c r="H18" s="21">
        <v>5500</v>
      </c>
      <c r="I18" s="89">
        <v>46171</v>
      </c>
      <c r="J18" s="90"/>
      <c r="K18" s="21"/>
      <c r="L18" s="23">
        <f t="shared" ref="L18" si="24">I18-F18</f>
        <v>14</v>
      </c>
      <c r="M18" s="91">
        <f t="shared" si="8"/>
        <v>46185</v>
      </c>
      <c r="N18" s="91"/>
      <c r="O18" s="4" t="str">
        <f t="shared" ref="O18" si="25">IFERROR(TEXT(WEEKDAY(M18),"ddd"),"")</f>
        <v>sex</v>
      </c>
      <c r="P18" s="19"/>
    </row>
    <row r="19" spans="1:19" ht="23.1" customHeight="1" x14ac:dyDescent="0.25">
      <c r="A19" s="27" t="s">
        <v>26</v>
      </c>
      <c r="B19" s="102" t="s">
        <v>8</v>
      </c>
      <c r="C19" s="103"/>
      <c r="D19" s="30">
        <v>7</v>
      </c>
      <c r="E19" s="28" t="s">
        <v>0</v>
      </c>
      <c r="F19" s="90">
        <v>46163</v>
      </c>
      <c r="G19" s="90"/>
      <c r="H19" s="21">
        <v>5700</v>
      </c>
      <c r="I19" s="90">
        <v>46170</v>
      </c>
      <c r="J19" s="90"/>
      <c r="K19" s="21"/>
      <c r="L19" s="23">
        <f>I19-F19</f>
        <v>7</v>
      </c>
      <c r="M19" s="91">
        <f t="shared" si="8"/>
        <v>46177</v>
      </c>
      <c r="N19" s="91"/>
      <c r="O19" s="4" t="str">
        <f>IFERROR(TEXT(WEEKDAY(M19),"ddd"),"")</f>
        <v>qui</v>
      </c>
      <c r="P19" s="19"/>
    </row>
    <row r="20" spans="1:19" ht="23.1" customHeight="1" x14ac:dyDescent="0.25">
      <c r="A20" s="27" t="s">
        <v>27</v>
      </c>
      <c r="B20" s="25" t="s">
        <v>7</v>
      </c>
      <c r="C20" s="26"/>
      <c r="D20" s="30">
        <v>13</v>
      </c>
      <c r="E20" s="28"/>
      <c r="F20" s="89">
        <v>46156</v>
      </c>
      <c r="G20" s="90"/>
      <c r="H20" s="21">
        <v>6350</v>
      </c>
      <c r="I20" s="89">
        <v>46162</v>
      </c>
      <c r="J20" s="90"/>
      <c r="K20" s="21"/>
      <c r="L20" s="23">
        <f t="shared" ref="L20" si="26">I20-F20</f>
        <v>6</v>
      </c>
      <c r="M20" s="91">
        <f t="shared" si="8"/>
        <v>46175</v>
      </c>
      <c r="N20" s="91"/>
      <c r="O20" s="4" t="str">
        <f t="shared" ref="O20" si="27">IFERROR(TEXT(WEEKDAY(M20),"ddd"),"")</f>
        <v>ter</v>
      </c>
      <c r="P20" s="19" t="s">
        <v>123</v>
      </c>
    </row>
    <row r="21" spans="1:19" s="66" customFormat="1" ht="23.1" customHeight="1" x14ac:dyDescent="0.25">
      <c r="A21" s="68" t="s">
        <v>37</v>
      </c>
      <c r="B21" s="69" t="s">
        <v>36</v>
      </c>
      <c r="C21" s="70"/>
      <c r="D21" s="71">
        <v>15</v>
      </c>
      <c r="E21" s="72"/>
      <c r="F21" s="97">
        <v>46147</v>
      </c>
      <c r="G21" s="98"/>
      <c r="H21" s="73"/>
      <c r="I21" s="97">
        <v>46170</v>
      </c>
      <c r="J21" s="98"/>
      <c r="K21" s="73"/>
      <c r="L21" s="74">
        <f t="shared" si="3"/>
        <v>23</v>
      </c>
      <c r="M21" s="99">
        <f t="shared" ref="M21:M29" si="28">IF(WEEKDAY((I21+D21))=7,(I21+D21)-1,IF(WEEKDAY((I21+D21))=1,(I21+D21)-2,(I21+D21)))</f>
        <v>46185</v>
      </c>
      <c r="N21" s="99"/>
      <c r="O21" s="75" t="str">
        <f t="shared" si="5"/>
        <v>sex</v>
      </c>
      <c r="P21" s="76"/>
      <c r="Q21" s="107"/>
      <c r="R21" s="108"/>
    </row>
    <row r="22" spans="1:19" s="66" customFormat="1" ht="23.1" customHeight="1" x14ac:dyDescent="0.25">
      <c r="A22" s="68" t="s">
        <v>97</v>
      </c>
      <c r="B22" s="69" t="s">
        <v>45</v>
      </c>
      <c r="C22" s="70"/>
      <c r="D22" s="71">
        <v>15</v>
      </c>
      <c r="E22" s="72"/>
      <c r="F22" s="97">
        <v>46129</v>
      </c>
      <c r="G22" s="98"/>
      <c r="H22" s="73"/>
      <c r="I22" s="97">
        <v>46155</v>
      </c>
      <c r="J22" s="98"/>
      <c r="K22" s="73"/>
      <c r="L22" s="74">
        <f t="shared" si="3"/>
        <v>26</v>
      </c>
      <c r="M22" s="99">
        <f t="shared" si="28"/>
        <v>46170</v>
      </c>
      <c r="N22" s="99"/>
      <c r="O22" s="75" t="str">
        <f t="shared" si="5"/>
        <v>qui</v>
      </c>
      <c r="P22" s="76"/>
      <c r="Q22" s="107"/>
      <c r="R22" s="108"/>
    </row>
    <row r="23" spans="1:19" s="87" customFormat="1" ht="23.1" customHeight="1" x14ac:dyDescent="0.25">
      <c r="A23" s="77" t="s">
        <v>28</v>
      </c>
      <c r="B23" s="92" t="s">
        <v>19</v>
      </c>
      <c r="C23" s="93"/>
      <c r="D23" s="51">
        <v>10</v>
      </c>
      <c r="E23" s="78"/>
      <c r="F23" s="94">
        <v>46164</v>
      </c>
      <c r="G23" s="95"/>
      <c r="H23" s="79"/>
      <c r="I23" s="94">
        <v>46171</v>
      </c>
      <c r="J23" s="95"/>
      <c r="K23" s="79"/>
      <c r="L23" s="54">
        <f t="shared" ref="L23" si="29">I23-F23</f>
        <v>7</v>
      </c>
      <c r="M23" s="96">
        <f t="shared" si="28"/>
        <v>46181</v>
      </c>
      <c r="N23" s="96"/>
      <c r="O23" s="55" t="str">
        <f t="shared" ref="O23" si="30">IFERROR(TEXT(WEEKDAY(M23),"ddd"),"")</f>
        <v>seg</v>
      </c>
      <c r="P23" s="29"/>
      <c r="Q23" s="107"/>
      <c r="R23" s="108"/>
      <c r="S23" s="2"/>
    </row>
    <row r="24" spans="1:19" ht="23.1" customHeight="1" x14ac:dyDescent="0.25">
      <c r="A24" s="77" t="s">
        <v>29</v>
      </c>
      <c r="B24" s="92" t="s">
        <v>8</v>
      </c>
      <c r="C24" s="93"/>
      <c r="D24" s="51">
        <v>4</v>
      </c>
      <c r="E24" s="78"/>
      <c r="F24" s="122">
        <v>46167</v>
      </c>
      <c r="G24" s="123"/>
      <c r="H24" s="80"/>
      <c r="I24" s="122">
        <v>46170</v>
      </c>
      <c r="J24" s="123"/>
      <c r="K24" s="79"/>
      <c r="L24" s="54">
        <f>I24-F24</f>
        <v>3</v>
      </c>
      <c r="M24" s="96">
        <f t="shared" si="28"/>
        <v>46174</v>
      </c>
      <c r="N24" s="96"/>
      <c r="O24" s="55" t="str">
        <f t="shared" si="5"/>
        <v>seg</v>
      </c>
      <c r="P24" s="81"/>
      <c r="Q24" s="107"/>
      <c r="R24" s="108"/>
    </row>
    <row r="25" spans="1:19" ht="23.1" customHeight="1" x14ac:dyDescent="0.25">
      <c r="A25" s="77" t="s">
        <v>30</v>
      </c>
      <c r="B25" s="92" t="s">
        <v>7</v>
      </c>
      <c r="C25" s="93"/>
      <c r="D25" s="51">
        <v>5</v>
      </c>
      <c r="E25" s="78"/>
      <c r="F25" s="94">
        <v>46164</v>
      </c>
      <c r="G25" s="95"/>
      <c r="H25" s="79"/>
      <c r="I25" s="94">
        <v>46169</v>
      </c>
      <c r="J25" s="95"/>
      <c r="K25" s="79"/>
      <c r="L25" s="54">
        <f t="shared" si="3"/>
        <v>5</v>
      </c>
      <c r="M25" s="96">
        <f t="shared" si="28"/>
        <v>46174</v>
      </c>
      <c r="N25" s="96"/>
      <c r="O25" s="55" t="str">
        <f t="shared" si="5"/>
        <v>seg</v>
      </c>
      <c r="P25" s="29"/>
      <c r="Q25" s="107"/>
      <c r="R25" s="108"/>
    </row>
    <row r="26" spans="1:19" ht="23.1" customHeight="1" x14ac:dyDescent="0.25">
      <c r="A26" s="77" t="s">
        <v>108</v>
      </c>
      <c r="B26" s="92" t="s">
        <v>41</v>
      </c>
      <c r="C26" s="93"/>
      <c r="D26" s="51">
        <v>7</v>
      </c>
      <c r="E26" s="78"/>
      <c r="F26" s="94">
        <v>46161</v>
      </c>
      <c r="G26" s="95"/>
      <c r="H26" s="79"/>
      <c r="I26" s="94">
        <v>46168</v>
      </c>
      <c r="J26" s="95"/>
      <c r="K26" s="79"/>
      <c r="L26" s="54">
        <f t="shared" ref="L26" si="31">I26-F26</f>
        <v>7</v>
      </c>
      <c r="M26" s="96">
        <f t="shared" ref="M26" si="32">IF(WEEKDAY((I26+D26))=7,(I26+D26)-1,IF(WEEKDAY((I26+D26))=1,(I26+D26)-2,(I26+D26)))</f>
        <v>46175</v>
      </c>
      <c r="N26" s="96"/>
      <c r="O26" s="55" t="str">
        <f t="shared" ref="O26" si="33">IFERROR(TEXT(WEEKDAY(M26),"ddd"),"")</f>
        <v>ter</v>
      </c>
      <c r="P26" s="29"/>
      <c r="Q26" s="107"/>
      <c r="R26" s="108"/>
    </row>
    <row r="27" spans="1:19" ht="22.5" customHeight="1" x14ac:dyDescent="0.25">
      <c r="A27" s="77" t="s">
        <v>103</v>
      </c>
      <c r="B27" s="92" t="s">
        <v>104</v>
      </c>
      <c r="C27" s="93"/>
      <c r="D27" s="51">
        <v>10</v>
      </c>
      <c r="E27" s="78"/>
      <c r="F27" s="94">
        <v>46161</v>
      </c>
      <c r="G27" s="95"/>
      <c r="H27" s="79">
        <v>0</v>
      </c>
      <c r="I27" s="94">
        <v>46170</v>
      </c>
      <c r="J27" s="95"/>
      <c r="K27" s="79"/>
      <c r="L27" s="54">
        <f t="shared" si="3"/>
        <v>9</v>
      </c>
      <c r="M27" s="96">
        <f t="shared" ref="M27:M28" si="34">IF(WEEKDAY((I27+D27))=7,(I27+D27)-1,IF(WEEKDAY((I27+D27))=1,(I27+D27)-2,(I27+D27)))</f>
        <v>46178</v>
      </c>
      <c r="N27" s="96"/>
      <c r="O27" s="55" t="str">
        <f t="shared" si="5"/>
        <v>sex</v>
      </c>
      <c r="P27" s="29"/>
      <c r="Q27" s="107"/>
      <c r="R27" s="108"/>
    </row>
    <row r="28" spans="1:19" s="56" customFormat="1" ht="23.25" customHeight="1" x14ac:dyDescent="0.25">
      <c r="A28" s="48" t="s">
        <v>117</v>
      </c>
      <c r="B28" s="49" t="s">
        <v>112</v>
      </c>
      <c r="C28" s="50"/>
      <c r="D28" s="51">
        <v>10</v>
      </c>
      <c r="E28" s="52"/>
      <c r="F28" s="94">
        <v>46164</v>
      </c>
      <c r="G28" s="95"/>
      <c r="H28" s="53">
        <v>6240</v>
      </c>
      <c r="I28" s="94">
        <v>46171</v>
      </c>
      <c r="J28" s="95"/>
      <c r="K28" s="53"/>
      <c r="L28" s="54">
        <f t="shared" si="3"/>
        <v>7</v>
      </c>
      <c r="M28" s="96">
        <f t="shared" si="34"/>
        <v>46181</v>
      </c>
      <c r="N28" s="96"/>
      <c r="O28" s="55" t="str">
        <f t="shared" si="5"/>
        <v>seg</v>
      </c>
      <c r="P28" s="29"/>
      <c r="Q28" s="107"/>
      <c r="R28" s="108"/>
      <c r="S28" s="2"/>
    </row>
    <row r="29" spans="1:19" ht="23.1" customHeight="1" x14ac:dyDescent="0.25">
      <c r="A29" s="77" t="s">
        <v>77</v>
      </c>
      <c r="B29" s="92" t="s">
        <v>76</v>
      </c>
      <c r="C29" s="93"/>
      <c r="D29" s="51">
        <v>7</v>
      </c>
      <c r="E29" s="78"/>
      <c r="F29" s="94">
        <v>46161</v>
      </c>
      <c r="G29" s="95"/>
      <c r="H29" s="79">
        <v>0</v>
      </c>
      <c r="I29" s="94">
        <v>46168</v>
      </c>
      <c r="J29" s="95"/>
      <c r="K29" s="79"/>
      <c r="L29" s="54">
        <f t="shared" ref="L29" si="35">I29-F29</f>
        <v>7</v>
      </c>
      <c r="M29" s="96">
        <f t="shared" si="28"/>
        <v>46175</v>
      </c>
      <c r="N29" s="96"/>
      <c r="O29" s="55" t="str">
        <f t="shared" ref="O29" si="36">IFERROR(TEXT(WEEKDAY(M29),"ddd"),"")</f>
        <v>ter</v>
      </c>
      <c r="P29" s="29"/>
      <c r="Q29" s="107"/>
      <c r="R29" s="108"/>
    </row>
    <row r="30" spans="1:19" ht="30.75" customHeight="1" x14ac:dyDescent="0.25">
      <c r="A30" s="109" t="s">
        <v>4</v>
      </c>
      <c r="B30" s="110"/>
      <c r="C30" s="111"/>
      <c r="D30" s="20" t="s">
        <v>15</v>
      </c>
      <c r="E30" s="14" t="s">
        <v>16</v>
      </c>
      <c r="F30" s="112" t="s">
        <v>18</v>
      </c>
      <c r="G30" s="113"/>
      <c r="H30" s="114"/>
      <c r="I30" s="112" t="s">
        <v>17</v>
      </c>
      <c r="J30" s="113"/>
      <c r="K30" s="114"/>
      <c r="L30" s="22" t="s">
        <v>2</v>
      </c>
      <c r="M30" s="115" t="s">
        <v>6</v>
      </c>
      <c r="N30" s="116"/>
      <c r="O30" s="117"/>
      <c r="P30" s="15" t="s">
        <v>11</v>
      </c>
    </row>
    <row r="31" spans="1:19" ht="23.1" customHeight="1" x14ac:dyDescent="0.25">
      <c r="A31" s="17">
        <v>10</v>
      </c>
      <c r="B31" s="100" t="s">
        <v>10</v>
      </c>
      <c r="C31" s="101"/>
      <c r="D31" s="18">
        <v>7</v>
      </c>
      <c r="E31" s="28" t="s">
        <v>20</v>
      </c>
      <c r="F31" s="90">
        <v>46161</v>
      </c>
      <c r="G31" s="90"/>
      <c r="H31" s="24">
        <v>620</v>
      </c>
      <c r="I31" s="90">
        <v>46168</v>
      </c>
      <c r="J31" s="90"/>
      <c r="K31" s="24">
        <v>360</v>
      </c>
      <c r="L31" s="23">
        <f>I31-F31</f>
        <v>7</v>
      </c>
      <c r="M31" s="91">
        <f t="shared" ref="M31:M32" si="37">IF(WEEKDAY((I31+D31))=7,(I31+D31)-1,IF(WEEKDAY((I31+D31))=1,(I31+D31)-2,(I31+D31)))</f>
        <v>46175</v>
      </c>
      <c r="N31" s="91"/>
      <c r="O31" s="4" t="str">
        <f t="shared" ref="O31:O32" si="38">IFERROR(TEXT(WEEKDAY(M31),"ddd"),"")</f>
        <v>ter</v>
      </c>
      <c r="P31" s="31"/>
    </row>
    <row r="32" spans="1:19" ht="23.1" customHeight="1" x14ac:dyDescent="0.25">
      <c r="A32" s="17">
        <v>18</v>
      </c>
      <c r="B32" s="25" t="s">
        <v>9</v>
      </c>
      <c r="C32" s="26"/>
      <c r="D32" s="18">
        <v>7</v>
      </c>
      <c r="E32" s="28" t="s">
        <v>20</v>
      </c>
      <c r="F32" s="89">
        <v>46164</v>
      </c>
      <c r="G32" s="90"/>
      <c r="H32" s="24"/>
      <c r="I32" s="89">
        <v>46171</v>
      </c>
      <c r="J32" s="90"/>
      <c r="K32" s="24"/>
      <c r="L32" s="23">
        <f t="shared" ref="L32" si="39">I32-F32</f>
        <v>7</v>
      </c>
      <c r="M32" s="91">
        <f t="shared" si="37"/>
        <v>46178</v>
      </c>
      <c r="N32" s="91"/>
      <c r="O32" s="4" t="str">
        <f t="shared" si="38"/>
        <v>sex</v>
      </c>
      <c r="P32" s="19"/>
    </row>
    <row r="33" spans="1:16" ht="23.1" customHeight="1" x14ac:dyDescent="0.25">
      <c r="A33" s="17">
        <v>26</v>
      </c>
      <c r="B33" s="25" t="s">
        <v>91</v>
      </c>
      <c r="C33" s="26"/>
      <c r="D33" s="18">
        <v>14</v>
      </c>
      <c r="E33" s="28" t="s">
        <v>20</v>
      </c>
      <c r="F33" s="89">
        <v>46153</v>
      </c>
      <c r="G33" s="90"/>
      <c r="H33" s="24"/>
      <c r="I33" s="89">
        <v>46167</v>
      </c>
      <c r="J33" s="90"/>
      <c r="K33" s="24"/>
      <c r="L33" s="23">
        <f t="shared" ref="L33:L34" si="40">I33-F33</f>
        <v>14</v>
      </c>
      <c r="M33" s="91">
        <f t="shared" ref="M33:M35" si="41">IF(WEEKDAY((I33+D33))=7,(I33+D33)-1,IF(WEEKDAY((I33+D33))=1,(I33+D33)-2,(I33+D33)))</f>
        <v>46181</v>
      </c>
      <c r="N33" s="91"/>
      <c r="O33" s="4" t="str">
        <f t="shared" ref="O33:O34" si="42">IFERROR(TEXT(WEEKDAY(M33),"ddd"),"")</f>
        <v>seg</v>
      </c>
      <c r="P33" s="19"/>
    </row>
    <row r="34" spans="1:16" ht="21" x14ac:dyDescent="0.25">
      <c r="A34" s="27" t="s">
        <v>115</v>
      </c>
      <c r="B34" s="25" t="s">
        <v>114</v>
      </c>
      <c r="C34" s="26"/>
      <c r="D34" s="18">
        <v>7</v>
      </c>
      <c r="E34" s="28" t="s">
        <v>0</v>
      </c>
      <c r="F34" s="89">
        <v>46162</v>
      </c>
      <c r="G34" s="90"/>
      <c r="H34" s="24"/>
      <c r="I34" s="89">
        <v>46169</v>
      </c>
      <c r="J34" s="90"/>
      <c r="K34" s="24"/>
      <c r="L34" s="23">
        <f t="shared" si="40"/>
        <v>7</v>
      </c>
      <c r="M34" s="91">
        <f t="shared" ref="M34" si="43">IF(WEEKDAY((I34+D34))=7,(I34+D34)-1,IF(WEEKDAY((I34+D34))=1,(I34+D34)-2,(I34+D34)))</f>
        <v>46176</v>
      </c>
      <c r="N34" s="91"/>
      <c r="O34" s="4" t="str">
        <f t="shared" si="42"/>
        <v>qua</v>
      </c>
      <c r="P34" s="19"/>
    </row>
    <row r="35" spans="1:16" ht="21" x14ac:dyDescent="0.25">
      <c r="A35" s="17">
        <v>11</v>
      </c>
      <c r="B35" s="25" t="s">
        <v>74</v>
      </c>
      <c r="C35" s="26"/>
      <c r="D35" s="18">
        <v>26</v>
      </c>
      <c r="E35" s="28" t="s">
        <v>0</v>
      </c>
      <c r="F35" s="89">
        <v>46142</v>
      </c>
      <c r="G35" s="90"/>
      <c r="H35" s="24"/>
      <c r="I35" s="89">
        <v>46160</v>
      </c>
      <c r="J35" s="90"/>
      <c r="K35" s="24"/>
      <c r="L35" s="23">
        <f t="shared" ref="L35" si="44">I35-F35</f>
        <v>18</v>
      </c>
      <c r="M35" s="91">
        <f t="shared" si="41"/>
        <v>46185</v>
      </c>
      <c r="N35" s="91"/>
      <c r="O35" s="4" t="str">
        <f t="shared" ref="O35" si="45">IFERROR(TEXT(WEEKDAY(M35),"ddd"),"")</f>
        <v>sex</v>
      </c>
      <c r="P35" s="19"/>
    </row>
    <row r="36" spans="1:16" ht="21" customHeight="1" x14ac:dyDescent="0.25">
      <c r="A36" s="17">
        <v>1296</v>
      </c>
      <c r="B36" s="32" t="s">
        <v>44</v>
      </c>
      <c r="C36" s="26"/>
      <c r="D36" s="18">
        <v>30</v>
      </c>
      <c r="E36" s="28" t="s">
        <v>20</v>
      </c>
      <c r="F36" s="89">
        <v>46135</v>
      </c>
      <c r="G36" s="90"/>
      <c r="H36" s="24"/>
      <c r="I36" s="89">
        <v>46142</v>
      </c>
      <c r="J36" s="90"/>
      <c r="K36" s="24"/>
      <c r="L36" s="23">
        <f t="shared" ref="L36:L62" si="46">I36-F36</f>
        <v>7</v>
      </c>
      <c r="M36" s="91">
        <f t="shared" ref="M36:M42" si="47">IF(WEEKDAY((I36+D36))=7,(I36+D36)-1,IF(WEEKDAY((I36+D36))=1,(I36+D36)-2,(I36+D36)))</f>
        <v>46171</v>
      </c>
      <c r="N36" s="91"/>
      <c r="O36" s="4" t="str">
        <f t="shared" ref="O36:O62" si="48">IFERROR(TEXT(WEEKDAY(M36),"ddd"),"")</f>
        <v>sex</v>
      </c>
      <c r="P36" s="19" t="s">
        <v>110</v>
      </c>
    </row>
    <row r="37" spans="1:16" ht="23.1" customHeight="1" x14ac:dyDescent="0.25">
      <c r="A37" s="17">
        <v>1430</v>
      </c>
      <c r="B37" s="25" t="s">
        <v>51</v>
      </c>
      <c r="C37" s="26"/>
      <c r="D37" s="18">
        <v>7</v>
      </c>
      <c r="E37" s="28" t="s">
        <v>20</v>
      </c>
      <c r="F37" s="89">
        <v>46163</v>
      </c>
      <c r="G37" s="90"/>
      <c r="H37" s="24"/>
      <c r="I37" s="89">
        <v>46170</v>
      </c>
      <c r="J37" s="90"/>
      <c r="K37" s="24"/>
      <c r="L37" s="23">
        <f t="shared" ref="L37:L38" si="49">I37-F37</f>
        <v>7</v>
      </c>
      <c r="M37" s="91">
        <f t="shared" ref="M37" si="50">IF(WEEKDAY((I37+D37))=7,(I37+D37)-1,IF(WEEKDAY((I37+D37))=1,(I37+D37)-2,(I37+D37)))</f>
        <v>46177</v>
      </c>
      <c r="N37" s="91"/>
      <c r="O37" s="4" t="str">
        <f t="shared" ref="O37:O38" si="51">IFERROR(TEXT(WEEKDAY(M37),"ddd"),"")</f>
        <v>qui</v>
      </c>
      <c r="P37" s="19"/>
    </row>
    <row r="38" spans="1:16" ht="23.1" customHeight="1" x14ac:dyDescent="0.25">
      <c r="A38" s="17">
        <v>1424</v>
      </c>
      <c r="B38" s="25" t="s">
        <v>116</v>
      </c>
      <c r="C38" s="26"/>
      <c r="D38" s="18">
        <v>7</v>
      </c>
      <c r="E38" s="28"/>
      <c r="F38" s="89">
        <v>46160</v>
      </c>
      <c r="G38" s="90"/>
      <c r="H38" s="24"/>
      <c r="I38" s="89">
        <v>46167</v>
      </c>
      <c r="J38" s="90"/>
      <c r="K38" s="24"/>
      <c r="L38" s="23">
        <f t="shared" si="49"/>
        <v>7</v>
      </c>
      <c r="M38" s="91">
        <f t="shared" ref="M38" si="52">IF(WEEKDAY((I38+D38))=7,(I38+D38)-1,IF(WEEKDAY((I38+D38))=1,(I38+D38)-2,(I38+D38)))</f>
        <v>46174</v>
      </c>
      <c r="N38" s="91"/>
      <c r="O38" s="4" t="str">
        <f t="shared" si="51"/>
        <v>seg</v>
      </c>
      <c r="P38" s="19"/>
    </row>
    <row r="39" spans="1:16" ht="23.1" customHeight="1" x14ac:dyDescent="0.25">
      <c r="A39" s="17">
        <v>1429</v>
      </c>
      <c r="B39" s="25" t="s">
        <v>93</v>
      </c>
      <c r="C39" s="26"/>
      <c r="D39" s="18">
        <v>3</v>
      </c>
      <c r="E39" s="28" t="s">
        <v>20</v>
      </c>
      <c r="F39" s="89">
        <v>46161</v>
      </c>
      <c r="G39" s="90"/>
      <c r="H39" s="24"/>
      <c r="I39" s="89">
        <v>46164</v>
      </c>
      <c r="J39" s="90"/>
      <c r="K39" s="24"/>
      <c r="L39" s="23">
        <f t="shared" si="46"/>
        <v>3</v>
      </c>
      <c r="M39" s="91">
        <f t="shared" si="47"/>
        <v>46167</v>
      </c>
      <c r="N39" s="91"/>
      <c r="O39" s="4" t="str">
        <f t="shared" si="48"/>
        <v>seg</v>
      </c>
      <c r="P39" s="19" t="s">
        <v>109</v>
      </c>
    </row>
    <row r="40" spans="1:16" ht="21.75" customHeight="1" x14ac:dyDescent="0.25">
      <c r="A40" s="17">
        <v>1425</v>
      </c>
      <c r="B40" s="25" t="s">
        <v>52</v>
      </c>
      <c r="C40" s="26"/>
      <c r="D40" s="18">
        <v>7</v>
      </c>
      <c r="E40" s="28" t="s">
        <v>20</v>
      </c>
      <c r="F40" s="89">
        <v>46164</v>
      </c>
      <c r="G40" s="90"/>
      <c r="H40" s="24"/>
      <c r="I40" s="89">
        <v>46171</v>
      </c>
      <c r="J40" s="90"/>
      <c r="K40" s="24"/>
      <c r="L40" s="23">
        <f t="shared" si="46"/>
        <v>7</v>
      </c>
      <c r="M40" s="91">
        <f t="shared" si="47"/>
        <v>46178</v>
      </c>
      <c r="N40" s="91"/>
      <c r="O40" s="4" t="str">
        <f t="shared" si="48"/>
        <v>sex</v>
      </c>
      <c r="P40" s="19"/>
    </row>
    <row r="41" spans="1:16" ht="23.1" customHeight="1" x14ac:dyDescent="0.25">
      <c r="A41" s="27" t="s">
        <v>66</v>
      </c>
      <c r="B41" s="25" t="s">
        <v>98</v>
      </c>
      <c r="C41" s="26"/>
      <c r="D41" s="18">
        <v>14</v>
      </c>
      <c r="E41" s="28" t="s">
        <v>20</v>
      </c>
      <c r="F41" s="89">
        <v>46153</v>
      </c>
      <c r="G41" s="90"/>
      <c r="H41" s="24"/>
      <c r="I41" s="89">
        <v>46167</v>
      </c>
      <c r="J41" s="90"/>
      <c r="K41" s="24"/>
      <c r="L41" s="23">
        <f>I41-F41</f>
        <v>14</v>
      </c>
      <c r="M41" s="91">
        <f t="shared" si="47"/>
        <v>46181</v>
      </c>
      <c r="N41" s="91"/>
      <c r="O41" s="4" t="str">
        <f t="shared" si="48"/>
        <v>seg</v>
      </c>
      <c r="P41" s="19"/>
    </row>
    <row r="42" spans="1:16" ht="21.75" customHeight="1" x14ac:dyDescent="0.25">
      <c r="A42" s="27" t="s">
        <v>62</v>
      </c>
      <c r="B42" s="25" t="s">
        <v>63</v>
      </c>
      <c r="C42" s="26"/>
      <c r="D42" s="18">
        <v>14</v>
      </c>
      <c r="E42" s="28" t="s">
        <v>20</v>
      </c>
      <c r="F42" s="89">
        <v>46153</v>
      </c>
      <c r="G42" s="90"/>
      <c r="H42" s="24"/>
      <c r="I42" s="89">
        <v>46167</v>
      </c>
      <c r="J42" s="90"/>
      <c r="K42" s="24"/>
      <c r="L42" s="23">
        <f t="shared" ref="L42" si="53">I42-F42</f>
        <v>14</v>
      </c>
      <c r="M42" s="91">
        <f t="shared" si="47"/>
        <v>46181</v>
      </c>
      <c r="N42" s="91"/>
      <c r="O42" s="4" t="str">
        <f t="shared" ref="O42" si="54">IFERROR(TEXT(WEEKDAY(M42),"ddd"),"")</f>
        <v>seg</v>
      </c>
      <c r="P42" s="19"/>
    </row>
    <row r="43" spans="1:16" ht="23.1" customHeight="1" x14ac:dyDescent="0.25">
      <c r="A43" s="27" t="s">
        <v>60</v>
      </c>
      <c r="B43" s="25" t="s">
        <v>61</v>
      </c>
      <c r="C43" s="26"/>
      <c r="D43" s="18">
        <v>7</v>
      </c>
      <c r="E43" s="28" t="s">
        <v>20</v>
      </c>
      <c r="F43" s="89">
        <v>46160</v>
      </c>
      <c r="G43" s="90"/>
      <c r="H43" s="24"/>
      <c r="I43" s="89">
        <v>46167</v>
      </c>
      <c r="J43" s="90"/>
      <c r="K43" s="24"/>
      <c r="L43" s="23">
        <f t="shared" si="46"/>
        <v>7</v>
      </c>
      <c r="M43" s="91">
        <f t="shared" ref="M43:M51" si="55">IF(WEEKDAY((I43+D43))=7,(I43+D43)-1,IF(WEEKDAY((I43+D43))=1,(I43+D43)-2,(I43+D43)))</f>
        <v>46174</v>
      </c>
      <c r="N43" s="91"/>
      <c r="O43" s="4" t="str">
        <f t="shared" si="48"/>
        <v>seg</v>
      </c>
      <c r="P43" s="19"/>
    </row>
    <row r="44" spans="1:16" ht="23.1" customHeight="1" x14ac:dyDescent="0.25">
      <c r="A44" s="17">
        <v>1437</v>
      </c>
      <c r="B44" s="32" t="s">
        <v>55</v>
      </c>
      <c r="C44" s="26"/>
      <c r="D44" s="18">
        <v>7</v>
      </c>
      <c r="E44" s="28" t="s">
        <v>20</v>
      </c>
      <c r="F44" s="89">
        <v>46164</v>
      </c>
      <c r="G44" s="90"/>
      <c r="H44" s="24"/>
      <c r="I44" s="89">
        <v>46171</v>
      </c>
      <c r="J44" s="90"/>
      <c r="K44" s="24"/>
      <c r="L44" s="23">
        <f t="shared" ref="L44" si="56">I44-F44</f>
        <v>7</v>
      </c>
      <c r="M44" s="91">
        <f t="shared" si="55"/>
        <v>46178</v>
      </c>
      <c r="N44" s="91"/>
      <c r="O44" s="4" t="str">
        <f t="shared" ref="O44" si="57">IFERROR(TEXT(WEEKDAY(M44),"ddd"),"")</f>
        <v>sex</v>
      </c>
      <c r="P44" s="19"/>
    </row>
    <row r="45" spans="1:16" ht="23.1" customHeight="1" x14ac:dyDescent="0.25">
      <c r="A45" s="17">
        <v>1438</v>
      </c>
      <c r="B45" s="25" t="s">
        <v>57</v>
      </c>
      <c r="C45" s="26"/>
      <c r="D45" s="18">
        <v>7</v>
      </c>
      <c r="E45" s="28" t="s">
        <v>20</v>
      </c>
      <c r="F45" s="89">
        <v>46160</v>
      </c>
      <c r="G45" s="90"/>
      <c r="H45" s="24"/>
      <c r="I45" s="89">
        <v>46167</v>
      </c>
      <c r="J45" s="90"/>
      <c r="K45" s="24"/>
      <c r="L45" s="23">
        <f t="shared" ref="L45" si="58">I45-F45</f>
        <v>7</v>
      </c>
      <c r="M45" s="91">
        <f t="shared" si="55"/>
        <v>46174</v>
      </c>
      <c r="N45" s="91"/>
      <c r="O45" s="4" t="str">
        <f t="shared" ref="O45" si="59">IFERROR(TEXT(WEEKDAY(M45),"ddd"),"")</f>
        <v>seg</v>
      </c>
      <c r="P45" s="19"/>
    </row>
    <row r="46" spans="1:16" ht="23.1" customHeight="1" x14ac:dyDescent="0.25">
      <c r="A46" s="17">
        <v>1439</v>
      </c>
      <c r="B46" s="25" t="s">
        <v>64</v>
      </c>
      <c r="C46" s="26"/>
      <c r="D46" s="18">
        <v>7</v>
      </c>
      <c r="E46" s="28" t="s">
        <v>20</v>
      </c>
      <c r="F46" s="89">
        <v>46160</v>
      </c>
      <c r="G46" s="90"/>
      <c r="H46" s="24"/>
      <c r="I46" s="89">
        <v>46167</v>
      </c>
      <c r="J46" s="90"/>
      <c r="K46" s="24"/>
      <c r="L46" s="23">
        <f t="shared" ref="L46" si="60">I46-F46</f>
        <v>7</v>
      </c>
      <c r="M46" s="91">
        <f t="shared" si="55"/>
        <v>46174</v>
      </c>
      <c r="N46" s="91"/>
      <c r="O46" s="4" t="str">
        <f t="shared" ref="O46" si="61">IFERROR(TEXT(WEEKDAY(M46),"ddd"),"")</f>
        <v>seg</v>
      </c>
      <c r="P46" s="19"/>
    </row>
    <row r="47" spans="1:16" ht="23.1" customHeight="1" x14ac:dyDescent="0.25">
      <c r="A47" s="17">
        <v>1434</v>
      </c>
      <c r="B47" s="25" t="s">
        <v>58</v>
      </c>
      <c r="C47" s="26"/>
      <c r="D47" s="18">
        <v>7</v>
      </c>
      <c r="E47" s="28" t="s">
        <v>20</v>
      </c>
      <c r="F47" s="89">
        <v>46160</v>
      </c>
      <c r="G47" s="90"/>
      <c r="H47" s="24"/>
      <c r="I47" s="89">
        <v>46167</v>
      </c>
      <c r="J47" s="90"/>
      <c r="K47" s="24"/>
      <c r="L47" s="23">
        <v>7</v>
      </c>
      <c r="M47" s="91">
        <f t="shared" si="55"/>
        <v>46174</v>
      </c>
      <c r="N47" s="91"/>
      <c r="O47" s="4" t="str">
        <f t="shared" ref="O47" si="62">IFERROR(TEXT(WEEKDAY(M47),"ddd"),"")</f>
        <v>seg</v>
      </c>
      <c r="P47" s="19"/>
    </row>
    <row r="48" spans="1:16" ht="23.1" customHeight="1" x14ac:dyDescent="0.25">
      <c r="A48" s="17">
        <v>1440</v>
      </c>
      <c r="B48" s="25" t="s">
        <v>59</v>
      </c>
      <c r="C48" s="26"/>
      <c r="D48" s="18">
        <v>5</v>
      </c>
      <c r="E48" s="28" t="s">
        <v>20</v>
      </c>
      <c r="F48" s="89">
        <v>46162</v>
      </c>
      <c r="G48" s="90"/>
      <c r="H48" s="21"/>
      <c r="I48" s="89">
        <v>46167</v>
      </c>
      <c r="J48" s="90"/>
      <c r="K48" s="21"/>
      <c r="L48" s="23">
        <f t="shared" ref="L48:L50" si="63">I48-F48</f>
        <v>5</v>
      </c>
      <c r="M48" s="91">
        <f t="shared" si="55"/>
        <v>46171</v>
      </c>
      <c r="N48" s="91"/>
      <c r="O48" s="4" t="str">
        <f t="shared" ref="O48:O50" si="64">IFERROR(TEXT(WEEKDAY(M48),"ddd"),"")</f>
        <v>sex</v>
      </c>
      <c r="P48" s="82"/>
    </row>
    <row r="49" spans="1:18" ht="21" x14ac:dyDescent="0.25">
      <c r="A49" s="17">
        <v>1436</v>
      </c>
      <c r="B49" s="25" t="s">
        <v>90</v>
      </c>
      <c r="C49" s="26"/>
      <c r="D49" s="18">
        <v>4</v>
      </c>
      <c r="E49" s="28" t="s">
        <v>20</v>
      </c>
      <c r="F49" s="89">
        <v>46160</v>
      </c>
      <c r="G49" s="90"/>
      <c r="H49" s="24"/>
      <c r="I49" s="89">
        <v>46164</v>
      </c>
      <c r="J49" s="90"/>
      <c r="K49" s="24"/>
      <c r="L49" s="23">
        <f t="shared" si="63"/>
        <v>4</v>
      </c>
      <c r="M49" s="91">
        <f t="shared" ref="M49:M50" si="65">IF(WEEKDAY((I49+D49))=7,(I49+D49)-1,IF(WEEKDAY((I49+D49))=1,(I49+D49)-2,(I49+D49)))</f>
        <v>46168</v>
      </c>
      <c r="N49" s="91"/>
      <c r="O49" s="4" t="str">
        <f t="shared" si="64"/>
        <v>ter</v>
      </c>
      <c r="P49" s="82"/>
    </row>
    <row r="50" spans="1:18" ht="21" x14ac:dyDescent="0.25">
      <c r="A50" s="17">
        <v>1435</v>
      </c>
      <c r="B50" s="25" t="s">
        <v>100</v>
      </c>
      <c r="C50" s="26"/>
      <c r="D50" s="18">
        <v>7</v>
      </c>
      <c r="E50" s="28" t="s">
        <v>20</v>
      </c>
      <c r="F50" s="89">
        <v>46161</v>
      </c>
      <c r="G50" s="90"/>
      <c r="H50" s="24"/>
      <c r="I50" s="89">
        <v>46168</v>
      </c>
      <c r="J50" s="90"/>
      <c r="K50" s="24"/>
      <c r="L50" s="23">
        <f t="shared" si="63"/>
        <v>7</v>
      </c>
      <c r="M50" s="91">
        <f t="shared" si="65"/>
        <v>46175</v>
      </c>
      <c r="N50" s="91"/>
      <c r="O50" s="4" t="str">
        <f t="shared" si="64"/>
        <v>ter</v>
      </c>
      <c r="P50" s="19"/>
    </row>
    <row r="51" spans="1:18" ht="21" x14ac:dyDescent="0.25">
      <c r="A51" s="17">
        <v>1643</v>
      </c>
      <c r="B51" s="25" t="s">
        <v>73</v>
      </c>
      <c r="C51" s="26"/>
      <c r="D51" s="18">
        <v>7</v>
      </c>
      <c r="E51" s="28" t="s">
        <v>20</v>
      </c>
      <c r="F51" s="89">
        <v>46162</v>
      </c>
      <c r="G51" s="90"/>
      <c r="H51" s="24"/>
      <c r="I51" s="89">
        <v>46169</v>
      </c>
      <c r="J51" s="90"/>
      <c r="K51" s="24"/>
      <c r="L51" s="23">
        <f t="shared" ref="L51" si="66">I51-F51</f>
        <v>7</v>
      </c>
      <c r="M51" s="91">
        <f t="shared" si="55"/>
        <v>46176</v>
      </c>
      <c r="N51" s="91"/>
      <c r="O51" s="4" t="str">
        <f t="shared" ref="O51" si="67">IFERROR(TEXT(WEEKDAY(M51),"ddd"),"")</f>
        <v>qua</v>
      </c>
      <c r="P51" s="19"/>
    </row>
    <row r="52" spans="1:18" ht="22.5" customHeight="1" x14ac:dyDescent="0.25">
      <c r="A52" s="17">
        <v>1005</v>
      </c>
      <c r="B52" s="32" t="s">
        <v>45</v>
      </c>
      <c r="C52" s="26"/>
      <c r="D52" s="18">
        <v>15</v>
      </c>
      <c r="E52" s="28" t="s">
        <v>0</v>
      </c>
      <c r="F52" s="89">
        <v>46108</v>
      </c>
      <c r="G52" s="90"/>
      <c r="H52" s="24"/>
      <c r="I52" s="89">
        <v>46141</v>
      </c>
      <c r="J52" s="90"/>
      <c r="K52" s="24"/>
      <c r="L52" s="23">
        <f t="shared" ref="L52" si="68">I52-F52</f>
        <v>33</v>
      </c>
      <c r="M52" s="91">
        <f t="shared" ref="M52:M61" si="69">IF(WEEKDAY((I52+D52))=7,(I52+D52)-1,IF(WEEKDAY((I52+D52))=1,(I52+D52)-2,(I52+D52)))</f>
        <v>46156</v>
      </c>
      <c r="N52" s="91"/>
      <c r="O52" s="4" t="str">
        <f t="shared" ref="O52" si="70">IFERROR(TEXT(WEEKDAY(M52),"ddd"),"")</f>
        <v>qui</v>
      </c>
      <c r="P52" s="19" t="s">
        <v>110</v>
      </c>
    </row>
    <row r="53" spans="1:18" ht="23.1" customHeight="1" x14ac:dyDescent="0.25">
      <c r="A53" s="17">
        <v>1346</v>
      </c>
      <c r="B53" s="25" t="s">
        <v>38</v>
      </c>
      <c r="C53" s="26"/>
      <c r="D53" s="18">
        <v>7</v>
      </c>
      <c r="E53" s="28" t="s">
        <v>20</v>
      </c>
      <c r="F53" s="89">
        <v>46163</v>
      </c>
      <c r="G53" s="90"/>
      <c r="H53" s="24"/>
      <c r="I53" s="89">
        <v>46170</v>
      </c>
      <c r="J53" s="90"/>
      <c r="K53" s="24"/>
      <c r="L53" s="23">
        <f t="shared" si="46"/>
        <v>7</v>
      </c>
      <c r="M53" s="91">
        <f t="shared" si="69"/>
        <v>46177</v>
      </c>
      <c r="N53" s="91"/>
      <c r="O53" s="4" t="str">
        <f t="shared" si="48"/>
        <v>qui</v>
      </c>
      <c r="P53" s="19" t="s">
        <v>12</v>
      </c>
    </row>
    <row r="54" spans="1:18" ht="23.1" customHeight="1" x14ac:dyDescent="0.25">
      <c r="A54" s="27">
        <v>92</v>
      </c>
      <c r="B54" s="25" t="s">
        <v>41</v>
      </c>
      <c r="C54" s="26"/>
      <c r="D54" s="18">
        <v>14</v>
      </c>
      <c r="E54" s="28" t="s">
        <v>1</v>
      </c>
      <c r="F54" s="89">
        <v>46161</v>
      </c>
      <c r="G54" s="90"/>
      <c r="H54" s="24"/>
      <c r="I54" s="89">
        <v>46168</v>
      </c>
      <c r="J54" s="90"/>
      <c r="K54" s="24"/>
      <c r="L54" s="23">
        <f t="shared" si="46"/>
        <v>7</v>
      </c>
      <c r="M54" s="91">
        <f t="shared" si="69"/>
        <v>46182</v>
      </c>
      <c r="N54" s="91"/>
      <c r="O54" s="4" t="str">
        <f t="shared" si="48"/>
        <v>ter</v>
      </c>
      <c r="P54" s="19" t="s">
        <v>110</v>
      </c>
    </row>
    <row r="55" spans="1:18" ht="23.1" customHeight="1" x14ac:dyDescent="0.25">
      <c r="A55" s="27" t="s">
        <v>31</v>
      </c>
      <c r="B55" s="25" t="s">
        <v>39</v>
      </c>
      <c r="C55" s="26"/>
      <c r="D55" s="18">
        <v>14</v>
      </c>
      <c r="E55" s="28" t="s">
        <v>20</v>
      </c>
      <c r="F55" s="89">
        <v>46153</v>
      </c>
      <c r="G55" s="90"/>
      <c r="H55" s="24"/>
      <c r="I55" s="89">
        <v>46167</v>
      </c>
      <c r="J55" s="90"/>
      <c r="K55" s="24"/>
      <c r="L55" s="23">
        <f t="shared" si="46"/>
        <v>14</v>
      </c>
      <c r="M55" s="91">
        <f t="shared" si="69"/>
        <v>46181</v>
      </c>
      <c r="N55" s="91"/>
      <c r="O55" s="4" t="str">
        <f t="shared" si="48"/>
        <v>seg</v>
      </c>
      <c r="P55" s="29" t="s">
        <v>13</v>
      </c>
    </row>
    <row r="56" spans="1:18" ht="23.25" customHeight="1" x14ac:dyDescent="0.25">
      <c r="A56" s="27">
        <v>1605</v>
      </c>
      <c r="B56" s="25" t="s">
        <v>85</v>
      </c>
      <c r="C56" s="26"/>
      <c r="D56" s="18">
        <v>7</v>
      </c>
      <c r="E56" s="28" t="s">
        <v>21</v>
      </c>
      <c r="F56" s="89">
        <v>46161</v>
      </c>
      <c r="G56" s="90"/>
      <c r="H56" s="24"/>
      <c r="I56" s="89">
        <v>46168</v>
      </c>
      <c r="J56" s="90"/>
      <c r="K56" s="24"/>
      <c r="L56" s="23">
        <f t="shared" ref="L56" si="71">I56-F56</f>
        <v>7</v>
      </c>
      <c r="M56" s="91">
        <f t="shared" ref="M56" si="72">IF(WEEKDAY((I56+D56))=7,(I56+D56)-1,IF(WEEKDAY((I56+D56))=1,(I56+D56)-2,(I56+D56)))</f>
        <v>46175</v>
      </c>
      <c r="N56" s="91"/>
      <c r="O56" s="4" t="str">
        <f t="shared" ref="O56" si="73">IFERROR(TEXT(WEEKDAY(M56),"ddd"),"")</f>
        <v>ter</v>
      </c>
      <c r="P56" s="19"/>
    </row>
    <row r="57" spans="1:18" ht="23.25" customHeight="1" x14ac:dyDescent="0.25">
      <c r="A57" s="27" t="s">
        <v>32</v>
      </c>
      <c r="B57" s="25" t="s">
        <v>40</v>
      </c>
      <c r="C57" s="26"/>
      <c r="D57" s="18">
        <v>7</v>
      </c>
      <c r="E57" s="28" t="s">
        <v>21</v>
      </c>
      <c r="F57" s="89">
        <v>46163</v>
      </c>
      <c r="G57" s="90"/>
      <c r="H57" s="24"/>
      <c r="I57" s="89">
        <v>46170</v>
      </c>
      <c r="J57" s="90"/>
      <c r="K57" s="24"/>
      <c r="L57" s="23">
        <f t="shared" si="46"/>
        <v>7</v>
      </c>
      <c r="M57" s="91">
        <f t="shared" si="69"/>
        <v>46177</v>
      </c>
      <c r="N57" s="91"/>
      <c r="O57" s="4" t="str">
        <f t="shared" si="48"/>
        <v>qui</v>
      </c>
      <c r="P57" s="19"/>
    </row>
    <row r="58" spans="1:18" ht="21.75" customHeight="1" x14ac:dyDescent="0.25">
      <c r="A58" s="27" t="s">
        <v>71</v>
      </c>
      <c r="B58" s="25" t="s">
        <v>70</v>
      </c>
      <c r="C58" s="26"/>
      <c r="D58" s="18">
        <v>7</v>
      </c>
      <c r="E58" s="28" t="s">
        <v>21</v>
      </c>
      <c r="F58" s="89">
        <v>46162</v>
      </c>
      <c r="G58" s="90"/>
      <c r="H58" s="24"/>
      <c r="I58" s="89">
        <v>46169</v>
      </c>
      <c r="J58" s="90"/>
      <c r="K58" s="24"/>
      <c r="L58" s="23">
        <f t="shared" ref="L58" si="74">I58-F58</f>
        <v>7</v>
      </c>
      <c r="M58" s="91">
        <f t="shared" si="69"/>
        <v>46176</v>
      </c>
      <c r="N58" s="91"/>
      <c r="O58" s="4" t="str">
        <f t="shared" ref="O58" si="75">IFERROR(TEXT(WEEKDAY(M58),"ddd"),"")</f>
        <v>qua</v>
      </c>
      <c r="P58" s="19"/>
    </row>
    <row r="59" spans="1:18" ht="23.1" customHeight="1" x14ac:dyDescent="0.25">
      <c r="A59" s="17">
        <v>109</v>
      </c>
      <c r="B59" s="102" t="s">
        <v>42</v>
      </c>
      <c r="C59" s="103"/>
      <c r="D59" s="18">
        <v>10</v>
      </c>
      <c r="E59" s="28" t="s">
        <v>0</v>
      </c>
      <c r="F59" s="90">
        <v>46161</v>
      </c>
      <c r="G59" s="90"/>
      <c r="H59" s="24"/>
      <c r="I59" s="90">
        <v>46171</v>
      </c>
      <c r="J59" s="90"/>
      <c r="K59" s="24"/>
      <c r="L59" s="23">
        <f t="shared" si="46"/>
        <v>10</v>
      </c>
      <c r="M59" s="91">
        <f t="shared" si="69"/>
        <v>46181</v>
      </c>
      <c r="N59" s="91"/>
      <c r="O59" s="4" t="str">
        <f t="shared" si="48"/>
        <v>seg</v>
      </c>
      <c r="P59" s="19" t="s">
        <v>110</v>
      </c>
    </row>
    <row r="60" spans="1:18" ht="23.1" customHeight="1" x14ac:dyDescent="0.25">
      <c r="A60" s="27" t="s">
        <v>119</v>
      </c>
      <c r="B60" s="25" t="s">
        <v>104</v>
      </c>
      <c r="C60" s="26"/>
      <c r="D60" s="18">
        <v>14</v>
      </c>
      <c r="E60" s="28"/>
      <c r="F60" s="89">
        <v>46150</v>
      </c>
      <c r="G60" s="90"/>
      <c r="H60" s="24"/>
      <c r="I60" s="89">
        <v>46164</v>
      </c>
      <c r="J60" s="90"/>
      <c r="K60" s="24"/>
      <c r="L60" s="23">
        <f t="shared" si="46"/>
        <v>14</v>
      </c>
      <c r="M60" s="91">
        <f t="shared" ref="M60" si="76">IF(WEEKDAY((I60+D60))=7,(I60+D60)-1,IF(WEEKDAY((I60+D60))=1,(I60+D60)-2,(I60+D60)))</f>
        <v>46178</v>
      </c>
      <c r="N60" s="91"/>
      <c r="O60" s="4"/>
      <c r="P60" s="19" t="s">
        <v>120</v>
      </c>
    </row>
    <row r="61" spans="1:18" ht="23.1" customHeight="1" x14ac:dyDescent="0.25">
      <c r="A61" s="17">
        <v>110</v>
      </c>
      <c r="B61" s="102" t="s">
        <v>43</v>
      </c>
      <c r="C61" s="103"/>
      <c r="D61" s="18">
        <v>14</v>
      </c>
      <c r="E61" s="28" t="s">
        <v>0</v>
      </c>
      <c r="F61" s="90">
        <v>46140</v>
      </c>
      <c r="G61" s="90"/>
      <c r="H61" s="24">
        <v>6340</v>
      </c>
      <c r="I61" s="90">
        <v>46154</v>
      </c>
      <c r="J61" s="90"/>
      <c r="K61" s="24"/>
      <c r="L61" s="23">
        <f t="shared" si="46"/>
        <v>14</v>
      </c>
      <c r="M61" s="91">
        <f t="shared" si="69"/>
        <v>46168</v>
      </c>
      <c r="N61" s="91"/>
      <c r="O61" s="4" t="str">
        <f t="shared" si="48"/>
        <v>ter</v>
      </c>
      <c r="P61" s="19" t="s">
        <v>110</v>
      </c>
    </row>
    <row r="62" spans="1:18" ht="23.1" customHeight="1" x14ac:dyDescent="0.25">
      <c r="A62" s="17">
        <v>1361</v>
      </c>
      <c r="B62" s="102" t="s">
        <v>50</v>
      </c>
      <c r="C62" s="103"/>
      <c r="D62" s="18">
        <v>25</v>
      </c>
      <c r="E62" s="28" t="s">
        <v>20</v>
      </c>
      <c r="F62" s="90">
        <v>46101</v>
      </c>
      <c r="G62" s="90"/>
      <c r="H62" s="24"/>
      <c r="I62" s="90">
        <v>46113</v>
      </c>
      <c r="J62" s="90"/>
      <c r="K62" s="24"/>
      <c r="L62" s="23">
        <f t="shared" si="46"/>
        <v>12</v>
      </c>
      <c r="M62" s="91">
        <f t="shared" ref="M62" si="77">IF(WEEKDAY((I62+D62))=7,(I62+D62)-1,IF(WEEKDAY((I62+D62))=1,(I62+D62)-2,(I62+D62)))</f>
        <v>46136</v>
      </c>
      <c r="N62" s="91"/>
      <c r="O62" s="4" t="str">
        <f t="shared" si="48"/>
        <v>sex</v>
      </c>
      <c r="P62" s="19"/>
    </row>
    <row r="63" spans="1:18" ht="7.5" hidden="1" customHeight="1" x14ac:dyDescent="0.25">
      <c r="A63" s="2"/>
      <c r="C63" s="13"/>
      <c r="D63" s="13"/>
      <c r="F63" s="6"/>
      <c r="G63" s="2"/>
      <c r="H63" s="2"/>
      <c r="I63" s="2"/>
      <c r="J63" s="2"/>
      <c r="L63" s="2"/>
      <c r="M63" s="2"/>
      <c r="N63" s="2"/>
      <c r="O63" s="8"/>
    </row>
    <row r="64" spans="1:18" ht="20.25" customHeight="1" x14ac:dyDescent="0.25">
      <c r="A64" s="118" t="str">
        <f>"Segunda(dia "&amp;TEXT($N$1+5,"DD")&amp;")"</f>
        <v>Segunda(dia 01)</v>
      </c>
      <c r="B64" s="119"/>
      <c r="C64" s="118" t="str">
        <f>"Terça(dia "&amp;TEXT($N$1+6,"DD")&amp;")"</f>
        <v>Terça(dia 02)</v>
      </c>
      <c r="D64" s="119"/>
      <c r="E64" s="119"/>
      <c r="F64" s="121"/>
      <c r="G64" s="119" t="str">
        <f>"Quarta(dia "&amp;TEXT($N$1+7,"DD")&amp;")"</f>
        <v>Quarta(dia 03)</v>
      </c>
      <c r="H64" s="119"/>
      <c r="I64" s="119"/>
      <c r="J64" s="119"/>
      <c r="K64" s="121"/>
      <c r="L64" s="118" t="str">
        <f>"Quinta(dia "&amp;TEXT($N$1+8,"DD")&amp;")"</f>
        <v>Quinta(dia 04)</v>
      </c>
      <c r="M64" s="119"/>
      <c r="N64" s="119"/>
      <c r="O64" s="119"/>
      <c r="P64" s="121"/>
      <c r="Q64" s="118" t="str">
        <f>"Sexta(dia "&amp;TEXT($N$1+9,"DD")&amp;")"</f>
        <v>Sexta(dia 05)</v>
      </c>
      <c r="R64" s="121"/>
    </row>
    <row r="65" spans="1:21" s="83" customFormat="1" ht="24.95" customHeight="1" x14ac:dyDescent="0.25">
      <c r="A65" s="88"/>
      <c r="B65" s="85"/>
      <c r="C65" s="88"/>
      <c r="D65" s="106"/>
      <c r="E65" s="106"/>
      <c r="F65" s="106"/>
      <c r="G65" s="88"/>
      <c r="H65" s="106"/>
      <c r="I65" s="106"/>
      <c r="J65" s="106"/>
      <c r="K65" s="106"/>
      <c r="L65" s="88"/>
      <c r="M65" s="106"/>
      <c r="N65" s="106"/>
      <c r="O65" s="106"/>
      <c r="P65" s="106"/>
      <c r="Q65" s="88"/>
      <c r="R65" s="106"/>
      <c r="S65" s="106"/>
      <c r="T65" s="106"/>
      <c r="U65" s="106"/>
    </row>
    <row r="66" spans="1:21" s="83" customFormat="1" ht="24.95" customHeight="1" x14ac:dyDescent="0.25">
      <c r="A66" s="88"/>
      <c r="B66" s="85"/>
      <c r="C66" s="88"/>
      <c r="D66" s="106"/>
      <c r="E66" s="106"/>
      <c r="F66" s="106"/>
      <c r="G66" s="88"/>
      <c r="H66" s="106"/>
      <c r="I66" s="106"/>
      <c r="J66" s="106"/>
      <c r="K66" s="106"/>
      <c r="L66" s="88"/>
      <c r="M66" s="106"/>
      <c r="N66" s="106"/>
      <c r="O66" s="106"/>
      <c r="P66" s="106"/>
      <c r="Q66" s="88"/>
      <c r="R66" s="85"/>
      <c r="S66" s="85"/>
      <c r="T66" s="85"/>
      <c r="U66" s="85"/>
    </row>
    <row r="67" spans="1:21" s="83" customFormat="1" ht="24.95" customHeight="1" x14ac:dyDescent="0.25">
      <c r="A67" s="88"/>
      <c r="B67" s="85"/>
      <c r="C67" s="88"/>
      <c r="D67" s="86"/>
      <c r="E67" s="86"/>
      <c r="F67" s="86"/>
      <c r="G67" s="88"/>
      <c r="H67" s="106"/>
      <c r="I67" s="106"/>
      <c r="J67" s="106"/>
      <c r="K67" s="106"/>
      <c r="L67" s="88"/>
      <c r="M67" s="106"/>
      <c r="N67" s="106"/>
      <c r="O67" s="106"/>
      <c r="P67" s="106"/>
      <c r="Q67" s="88"/>
      <c r="R67" s="106"/>
      <c r="S67" s="106"/>
      <c r="T67" s="106"/>
      <c r="U67" s="106"/>
    </row>
    <row r="68" spans="1:21" s="83" customFormat="1" ht="24.95" customHeight="1" x14ac:dyDescent="0.25">
      <c r="A68" s="88"/>
      <c r="B68" s="85"/>
      <c r="C68" s="88"/>
      <c r="D68" s="106"/>
      <c r="E68" s="106"/>
      <c r="F68" s="106"/>
      <c r="G68" s="88"/>
      <c r="H68" s="106"/>
      <c r="I68" s="106"/>
      <c r="J68" s="106"/>
      <c r="K68" s="106"/>
      <c r="L68" s="88"/>
      <c r="M68" s="106"/>
      <c r="N68" s="106"/>
      <c r="O68" s="106"/>
      <c r="P68" s="106"/>
      <c r="Q68" s="36"/>
      <c r="R68" s="2"/>
    </row>
    <row r="69" spans="1:21" s="83" customFormat="1" ht="24.95" customHeight="1" x14ac:dyDescent="0.25">
      <c r="A69" s="88"/>
      <c r="B69" s="85"/>
      <c r="C69" s="88"/>
      <c r="D69" s="106"/>
      <c r="E69" s="106"/>
      <c r="F69" s="106"/>
      <c r="G69" s="36"/>
      <c r="H69" s="105"/>
      <c r="I69" s="105"/>
      <c r="J69" s="105"/>
      <c r="K69" s="105"/>
      <c r="L69" s="88"/>
      <c r="M69" s="106"/>
      <c r="N69" s="106"/>
      <c r="O69" s="106"/>
      <c r="P69" s="106"/>
      <c r="Q69" s="36"/>
      <c r="R69" s="2"/>
    </row>
    <row r="70" spans="1:21" s="83" customFormat="1" ht="24.95" customHeight="1" x14ac:dyDescent="0.25">
      <c r="A70" s="88"/>
      <c r="B70" s="85"/>
      <c r="C70" s="88"/>
      <c r="D70" s="106"/>
      <c r="E70" s="106"/>
      <c r="F70" s="106"/>
      <c r="G70" s="36"/>
      <c r="H70" s="105"/>
      <c r="I70" s="105"/>
      <c r="J70" s="105"/>
      <c r="K70" s="105"/>
      <c r="L70" s="88"/>
      <c r="M70" s="106"/>
      <c r="N70" s="106"/>
      <c r="O70" s="106"/>
      <c r="P70" s="106"/>
      <c r="Q70" s="36"/>
      <c r="R70" s="2"/>
      <c r="S70" s="35"/>
    </row>
    <row r="71" spans="1:21" s="83" customFormat="1" ht="24.95" customHeight="1" x14ac:dyDescent="0.25">
      <c r="A71" s="88"/>
      <c r="B71" s="85"/>
      <c r="C71" s="36"/>
      <c r="D71" s="104"/>
      <c r="E71" s="104"/>
      <c r="F71" s="104"/>
      <c r="G71" s="36"/>
      <c r="H71" s="105"/>
      <c r="I71" s="105"/>
      <c r="J71" s="105"/>
      <c r="K71" s="105"/>
      <c r="L71" s="88"/>
      <c r="M71" s="106"/>
      <c r="N71" s="106"/>
      <c r="O71" s="106"/>
      <c r="P71" s="106"/>
      <c r="Q71" s="36"/>
      <c r="R71" s="2"/>
    </row>
    <row r="72" spans="1:21" s="83" customFormat="1" ht="24.95" customHeight="1" x14ac:dyDescent="0.25">
      <c r="A72" s="88"/>
      <c r="B72" s="85"/>
      <c r="C72" s="36"/>
      <c r="D72" s="104"/>
      <c r="E72" s="104"/>
      <c r="F72" s="104"/>
      <c r="G72" s="36"/>
      <c r="H72" s="105"/>
      <c r="I72" s="105"/>
      <c r="J72" s="105"/>
      <c r="K72" s="105"/>
      <c r="L72" s="36"/>
      <c r="M72" s="105"/>
      <c r="N72" s="105"/>
      <c r="O72" s="105"/>
      <c r="P72" s="105"/>
      <c r="Q72" s="36"/>
      <c r="R72" s="2"/>
    </row>
    <row r="73" spans="1:21" s="83" customFormat="1" ht="24.95" customHeight="1" x14ac:dyDescent="0.25">
      <c r="A73" s="36"/>
      <c r="B73" s="2"/>
      <c r="C73" s="36"/>
      <c r="D73" s="104"/>
      <c r="E73" s="104"/>
      <c r="F73" s="104"/>
      <c r="G73" s="36"/>
      <c r="H73" s="105"/>
      <c r="I73" s="105"/>
      <c r="J73" s="105"/>
      <c r="K73" s="105"/>
      <c r="L73" s="36"/>
      <c r="M73" s="104"/>
      <c r="N73" s="104"/>
      <c r="O73" s="104"/>
      <c r="P73" s="104"/>
      <c r="Q73" s="36"/>
      <c r="R73" s="2"/>
    </row>
    <row r="74" spans="1:21" s="83" customFormat="1" ht="24.95" customHeight="1" x14ac:dyDescent="0.25">
      <c r="A74" s="36"/>
      <c r="B74" s="2"/>
      <c r="C74" s="36"/>
      <c r="D74" s="104"/>
      <c r="E74" s="104"/>
      <c r="F74" s="104"/>
      <c r="G74" s="36"/>
      <c r="H74" s="105"/>
      <c r="I74" s="105"/>
      <c r="J74" s="105"/>
      <c r="K74" s="105"/>
      <c r="L74" s="36"/>
      <c r="M74" s="104"/>
      <c r="N74" s="104"/>
      <c r="O74" s="104"/>
      <c r="P74" s="104"/>
      <c r="Q74" s="36"/>
      <c r="R74" s="2"/>
    </row>
    <row r="75" spans="1:21" s="83" customFormat="1" ht="24.95" customHeight="1" x14ac:dyDescent="0.25">
      <c r="A75" s="36"/>
      <c r="B75" s="2" t="str">
        <f t="shared" ref="B65:B83" si="78">IFERROR(VLOOKUP(A75,$A:$B,2,FALSE),"")</f>
        <v/>
      </c>
      <c r="C75" s="36"/>
      <c r="D75" s="104" t="str">
        <f t="shared" ref="D70:D78" si="79">IFERROR(VLOOKUP(C75,$A:$B,2,FALSE),"")</f>
        <v/>
      </c>
      <c r="E75" s="104"/>
      <c r="F75" s="104"/>
      <c r="G75" s="36"/>
      <c r="H75" s="105" t="str">
        <f t="shared" ref="H70:H78" si="80">IFERROR(VLOOKUP(G75,$A:$B,2,FALSE),"")</f>
        <v/>
      </c>
      <c r="I75" s="105"/>
      <c r="J75" s="105"/>
      <c r="K75" s="105"/>
      <c r="L75" s="36"/>
      <c r="M75" s="104" t="str">
        <f t="shared" ref="M65:M82" si="81">IFERROR(VLOOKUP(L75,$A:$B,2,FALSE),"")</f>
        <v/>
      </c>
      <c r="N75" s="104"/>
      <c r="O75" s="104"/>
      <c r="P75" s="104"/>
      <c r="Q75" s="36"/>
      <c r="R75" s="2" t="str">
        <f t="shared" ref="R65:R82" si="82">IFERROR(VLOOKUP(Q75,$A:$B,2,FALSE),"")</f>
        <v/>
      </c>
    </row>
    <row r="76" spans="1:21" s="83" customFormat="1" ht="22.5" customHeight="1" x14ac:dyDescent="0.25">
      <c r="A76" s="36"/>
      <c r="B76" s="2" t="str">
        <f t="shared" si="78"/>
        <v/>
      </c>
      <c r="C76" s="36"/>
      <c r="D76" s="104" t="str">
        <f t="shared" si="79"/>
        <v/>
      </c>
      <c r="E76" s="104"/>
      <c r="F76" s="104"/>
      <c r="G76" s="36"/>
      <c r="H76" s="105" t="str">
        <f t="shared" si="80"/>
        <v/>
      </c>
      <c r="I76" s="105"/>
      <c r="J76" s="105"/>
      <c r="K76" s="105"/>
      <c r="L76" s="36"/>
      <c r="M76" s="104" t="str">
        <f t="shared" si="81"/>
        <v/>
      </c>
      <c r="N76" s="104"/>
      <c r="O76" s="104"/>
      <c r="P76" s="104"/>
      <c r="Q76" s="37"/>
      <c r="R76" s="2" t="str">
        <f t="shared" si="82"/>
        <v/>
      </c>
    </row>
    <row r="77" spans="1:21" s="83" customFormat="1" ht="21" customHeight="1" x14ac:dyDescent="0.25">
      <c r="A77" s="37"/>
      <c r="B77" s="2" t="str">
        <f t="shared" si="78"/>
        <v/>
      </c>
      <c r="C77" s="36"/>
      <c r="D77" s="104" t="str">
        <f t="shared" si="79"/>
        <v/>
      </c>
      <c r="E77" s="104"/>
      <c r="F77" s="104"/>
      <c r="G77" s="36"/>
      <c r="H77" s="105" t="str">
        <f t="shared" si="80"/>
        <v/>
      </c>
      <c r="I77" s="105"/>
      <c r="J77" s="105"/>
      <c r="K77" s="105"/>
      <c r="L77" s="38"/>
      <c r="M77" s="104" t="str">
        <f t="shared" si="81"/>
        <v/>
      </c>
      <c r="N77" s="104"/>
      <c r="O77" s="104"/>
      <c r="P77" s="104"/>
      <c r="Q77" s="37"/>
      <c r="R77" s="2" t="str">
        <f t="shared" si="82"/>
        <v/>
      </c>
    </row>
    <row r="78" spans="1:21" s="83" customFormat="1" ht="24.75" customHeight="1" x14ac:dyDescent="0.25">
      <c r="A78" s="36"/>
      <c r="B78" s="2" t="str">
        <f t="shared" si="78"/>
        <v/>
      </c>
      <c r="C78" s="37"/>
      <c r="D78" s="104" t="str">
        <f t="shared" si="79"/>
        <v/>
      </c>
      <c r="E78" s="104"/>
      <c r="F78" s="104"/>
      <c r="G78" s="36"/>
      <c r="H78" s="105" t="str">
        <f t="shared" si="80"/>
        <v/>
      </c>
      <c r="I78" s="105"/>
      <c r="J78" s="105"/>
      <c r="K78" s="105"/>
      <c r="L78" s="38"/>
      <c r="M78" s="104" t="str">
        <f t="shared" si="81"/>
        <v/>
      </c>
      <c r="N78" s="104"/>
      <c r="O78" s="104"/>
      <c r="P78" s="104"/>
      <c r="Q78" s="37"/>
      <c r="R78" s="2" t="str">
        <f t="shared" si="82"/>
        <v/>
      </c>
    </row>
    <row r="79" spans="1:21" ht="24.75" customHeight="1" x14ac:dyDescent="0.25">
      <c r="A79" s="36"/>
      <c r="C79" s="37"/>
      <c r="D79" s="104" t="str">
        <f t="shared" ref="D79:D80" si="83">IFERROR(VLOOKUP(C79,$A:$B,2,FALSE),"")</f>
        <v/>
      </c>
      <c r="E79" s="104"/>
      <c r="F79" s="104"/>
      <c r="G79" s="36"/>
      <c r="H79" s="104" t="str">
        <f t="shared" ref="H66:H82" si="84">IFERROR(VLOOKUP(G79,$A:$B,2,FALSE),"")</f>
        <v/>
      </c>
      <c r="I79" s="104"/>
      <c r="J79" s="104"/>
      <c r="K79" s="104"/>
      <c r="L79" s="38"/>
      <c r="M79" s="104" t="str">
        <f t="shared" si="81"/>
        <v/>
      </c>
      <c r="N79" s="104"/>
      <c r="O79" s="104"/>
      <c r="P79" s="104"/>
      <c r="Q79" s="37"/>
      <c r="R79" s="2" t="str">
        <f t="shared" si="82"/>
        <v/>
      </c>
    </row>
    <row r="80" spans="1:21" ht="24.75" customHeight="1" x14ac:dyDescent="0.25">
      <c r="B80" s="2" t="str">
        <f t="shared" si="78"/>
        <v/>
      </c>
      <c r="C80" s="37"/>
      <c r="D80" s="104" t="str">
        <f t="shared" si="83"/>
        <v/>
      </c>
      <c r="E80" s="104"/>
      <c r="F80" s="104"/>
      <c r="G80" s="36"/>
      <c r="H80" s="104" t="str">
        <f t="shared" si="84"/>
        <v/>
      </c>
      <c r="I80" s="104"/>
      <c r="J80" s="104"/>
      <c r="K80" s="104"/>
      <c r="L80" s="38"/>
      <c r="M80" s="104" t="str">
        <f t="shared" si="81"/>
        <v/>
      </c>
      <c r="N80" s="104"/>
      <c r="O80" s="104"/>
      <c r="P80" s="104"/>
      <c r="Q80" s="37"/>
      <c r="R80" s="2" t="str">
        <f t="shared" si="82"/>
        <v/>
      </c>
    </row>
    <row r="81" spans="1:18" ht="23.25" customHeight="1" x14ac:dyDescent="0.25">
      <c r="A81" s="36"/>
      <c r="B81" s="2" t="str">
        <f t="shared" si="78"/>
        <v/>
      </c>
      <c r="C81" s="37"/>
      <c r="D81" s="104" t="str">
        <f t="shared" ref="D81:D82" si="85">IFERROR(VLOOKUP(C81,$A:$B,2,FALSE),"")</f>
        <v/>
      </c>
      <c r="E81" s="104"/>
      <c r="F81" s="104"/>
      <c r="G81" s="36"/>
      <c r="H81" s="104" t="str">
        <f t="shared" si="84"/>
        <v/>
      </c>
      <c r="I81" s="104"/>
      <c r="J81" s="104"/>
      <c r="K81" s="104"/>
      <c r="L81" s="38"/>
      <c r="M81" s="104" t="str">
        <f t="shared" si="81"/>
        <v/>
      </c>
      <c r="N81" s="104"/>
      <c r="O81" s="104"/>
      <c r="P81" s="104"/>
      <c r="Q81" s="37"/>
      <c r="R81" s="2" t="str">
        <f t="shared" si="82"/>
        <v/>
      </c>
    </row>
    <row r="82" spans="1:18" ht="15" x14ac:dyDescent="0.25">
      <c r="A82" s="36"/>
      <c r="B82" s="2" t="str">
        <f t="shared" si="78"/>
        <v/>
      </c>
      <c r="C82" s="37"/>
      <c r="D82" s="104" t="str">
        <f t="shared" si="85"/>
        <v/>
      </c>
      <c r="E82" s="104"/>
      <c r="F82" s="104"/>
      <c r="G82" s="36"/>
      <c r="H82" s="104" t="str">
        <f t="shared" si="84"/>
        <v/>
      </c>
      <c r="I82" s="104"/>
      <c r="J82" s="104"/>
      <c r="K82" s="104"/>
      <c r="L82" s="38"/>
      <c r="M82" s="104" t="str">
        <f t="shared" si="81"/>
        <v/>
      </c>
      <c r="N82" s="104"/>
      <c r="O82" s="104"/>
      <c r="P82" s="104"/>
      <c r="Q82" s="37"/>
      <c r="R82" s="2" t="str">
        <f t="shared" si="82"/>
        <v/>
      </c>
    </row>
    <row r="83" spans="1:18" ht="15" customHeight="1" x14ac:dyDescent="0.25">
      <c r="B83" s="2" t="str">
        <f t="shared" si="78"/>
        <v/>
      </c>
      <c r="G83" s="39"/>
    </row>
    <row r="84" spans="1:18" ht="24.95" hidden="1" customHeight="1" x14ac:dyDescent="0.25"/>
    <row r="85" spans="1:18" ht="24.95" hidden="1" customHeight="1" x14ac:dyDescent="0.25"/>
    <row r="86" spans="1:18" ht="24.95" hidden="1" customHeight="1" x14ac:dyDescent="0.25"/>
    <row r="87" spans="1:18" ht="24.95" hidden="1" customHeight="1" x14ac:dyDescent="0.25"/>
    <row r="88" spans="1:18" ht="24.95" hidden="1" customHeight="1" x14ac:dyDescent="0.25"/>
    <row r="89" spans="1:18" ht="24.95" hidden="1" customHeight="1" x14ac:dyDescent="0.25"/>
    <row r="90" spans="1:18" ht="24.95" hidden="1" customHeight="1" x14ac:dyDescent="0.25"/>
    <row r="91" spans="1:18" ht="24.95" hidden="1" customHeight="1" x14ac:dyDescent="0.25"/>
    <row r="92" spans="1:18" ht="24.95" hidden="1" customHeight="1" x14ac:dyDescent="0.25"/>
    <row r="93" spans="1:18" ht="24.95" hidden="1" customHeight="1" x14ac:dyDescent="0.25"/>
    <row r="94" spans="1:18" ht="24.95" hidden="1" customHeight="1" x14ac:dyDescent="0.25"/>
    <row r="95" spans="1:18" ht="24.95" hidden="1" customHeight="1" x14ac:dyDescent="0.25"/>
    <row r="96" spans="1:18" ht="24.95" hidden="1" customHeight="1" x14ac:dyDescent="0.25"/>
    <row r="97" ht="24.95" hidden="1" customHeight="1" x14ac:dyDescent="0.25"/>
    <row r="98" ht="24.95" hidden="1" customHeight="1" x14ac:dyDescent="0.25"/>
    <row r="99" ht="24.95" hidden="1" customHeight="1" x14ac:dyDescent="0.25"/>
    <row r="100" ht="24.95" hidden="1" customHeight="1" x14ac:dyDescent="0.25"/>
    <row r="101" ht="24.95" hidden="1" customHeight="1" x14ac:dyDescent="0.25"/>
    <row r="102" ht="24.95" hidden="1" customHeight="1" x14ac:dyDescent="0.25"/>
    <row r="103" ht="24.95" hidden="1" customHeight="1" x14ac:dyDescent="0.25"/>
    <row r="104" ht="24.95" hidden="1" customHeight="1" x14ac:dyDescent="0.25"/>
    <row r="105" ht="24.95" hidden="1" customHeight="1" x14ac:dyDescent="0.25"/>
    <row r="106" ht="24.95" hidden="1" customHeight="1" x14ac:dyDescent="0.25"/>
    <row r="107" ht="24.95" hidden="1" customHeight="1" x14ac:dyDescent="0.25"/>
    <row r="108" ht="24.95" hidden="1" customHeight="1" x14ac:dyDescent="0.25"/>
    <row r="109" ht="24.95" hidden="1" customHeight="1" x14ac:dyDescent="0.25"/>
    <row r="110" ht="24.95" hidden="1" customHeight="1" x14ac:dyDescent="0.25"/>
    <row r="111" ht="24.95" hidden="1" customHeight="1" x14ac:dyDescent="0.25"/>
    <row r="112" ht="24.95" hidden="1" customHeight="1" x14ac:dyDescent="0.25"/>
    <row r="113" ht="24.95" hidden="1" customHeight="1" x14ac:dyDescent="0.25"/>
    <row r="114" ht="24.95" hidden="1" customHeight="1" x14ac:dyDescent="0.25"/>
    <row r="115" ht="24.95" hidden="1" customHeight="1" x14ac:dyDescent="0.25"/>
    <row r="116" ht="24.95" hidden="1" customHeight="1" x14ac:dyDescent="0.25"/>
    <row r="117" ht="24.95" hidden="1" customHeight="1" x14ac:dyDescent="0.25"/>
    <row r="118" ht="24.95" hidden="1" customHeight="1" x14ac:dyDescent="0.25"/>
    <row r="119" ht="24.95" hidden="1" customHeight="1" x14ac:dyDescent="0.25"/>
    <row r="120" ht="24.95" hidden="1" customHeight="1" x14ac:dyDescent="0.25"/>
    <row r="121" ht="24.95" hidden="1" customHeight="1" x14ac:dyDescent="0.25"/>
    <row r="122" ht="24.95" hidden="1" customHeight="1" x14ac:dyDescent="0.25"/>
    <row r="123" ht="24.95" hidden="1" customHeight="1" x14ac:dyDescent="0.25"/>
    <row r="124" ht="24.95" hidden="1" customHeight="1" x14ac:dyDescent="0.25"/>
  </sheetData>
  <sheetProtection formatCells="0" formatColumns="0" formatRows="0" insertColumns="0" insertRows="0" deleteColumns="0" deleteRows="0" sort="0"/>
  <autoFilter ref="A2:P62" xr:uid="{00000000-0001-0000-0000-000000000000}">
    <filterColumn colId="0" showButton="0"/>
    <filterColumn colId="1" showButton="0"/>
    <filterColumn colId="5" showButton="0"/>
    <filterColumn colId="6" showButton="0"/>
    <filterColumn colId="8" showButton="0"/>
    <filterColumn colId="9" showButton="0"/>
    <filterColumn colId="12" showButton="0"/>
    <filterColumn colId="13" showButton="0"/>
  </autoFilter>
  <mergeCells count="259">
    <mergeCell ref="I51:J51"/>
    <mergeCell ref="M51:N51"/>
    <mergeCell ref="F44:G44"/>
    <mergeCell ref="M44:N44"/>
    <mergeCell ref="F48:G48"/>
    <mergeCell ref="I48:J48"/>
    <mergeCell ref="M48:N48"/>
    <mergeCell ref="M46:N46"/>
    <mergeCell ref="F47:G47"/>
    <mergeCell ref="I47:J47"/>
    <mergeCell ref="M47:N47"/>
    <mergeCell ref="F46:G46"/>
    <mergeCell ref="I43:J43"/>
    <mergeCell ref="M43:N43"/>
    <mergeCell ref="M41:N41"/>
    <mergeCell ref="I44:J44"/>
    <mergeCell ref="M61:N61"/>
    <mergeCell ref="F53:G53"/>
    <mergeCell ref="I46:J46"/>
    <mergeCell ref="I54:J54"/>
    <mergeCell ref="M54:N54"/>
    <mergeCell ref="F55:G55"/>
    <mergeCell ref="M59:N59"/>
    <mergeCell ref="F57:G57"/>
    <mergeCell ref="I57:J57"/>
    <mergeCell ref="M57:N57"/>
    <mergeCell ref="F59:G59"/>
    <mergeCell ref="F52:G52"/>
    <mergeCell ref="I52:J52"/>
    <mergeCell ref="F51:G51"/>
    <mergeCell ref="M42:N42"/>
    <mergeCell ref="F43:G43"/>
    <mergeCell ref="F45:G45"/>
    <mergeCell ref="I45:J45"/>
    <mergeCell ref="M45:N45"/>
    <mergeCell ref="M52:N52"/>
    <mergeCell ref="R67:U67"/>
    <mergeCell ref="F49:G49"/>
    <mergeCell ref="I49:J49"/>
    <mergeCell ref="M49:N49"/>
    <mergeCell ref="F50:G50"/>
    <mergeCell ref="I50:J50"/>
    <mergeCell ref="M50:N50"/>
    <mergeCell ref="F56:G56"/>
    <mergeCell ref="I56:J56"/>
    <mergeCell ref="M56:N56"/>
    <mergeCell ref="H67:K67"/>
    <mergeCell ref="R65:U65"/>
    <mergeCell ref="D66:F66"/>
    <mergeCell ref="H66:K66"/>
    <mergeCell ref="M66:P66"/>
    <mergeCell ref="I53:J53"/>
    <mergeCell ref="M53:N53"/>
    <mergeCell ref="Q64:R64"/>
    <mergeCell ref="D65:F65"/>
    <mergeCell ref="H65:K65"/>
    <mergeCell ref="M65:P65"/>
    <mergeCell ref="I55:J55"/>
    <mergeCell ref="M55:N55"/>
    <mergeCell ref="F54:G54"/>
    <mergeCell ref="F42:G42"/>
    <mergeCell ref="F30:H30"/>
    <mergeCell ref="I30:K30"/>
    <mergeCell ref="F36:G36"/>
    <mergeCell ref="F32:G32"/>
    <mergeCell ref="I32:J32"/>
    <mergeCell ref="I31:J31"/>
    <mergeCell ref="I24:J24"/>
    <mergeCell ref="A30:C30"/>
    <mergeCell ref="F41:G41"/>
    <mergeCell ref="F31:G31"/>
    <mergeCell ref="I41:J41"/>
    <mergeCell ref="F34:G34"/>
    <mergeCell ref="I34:J34"/>
    <mergeCell ref="I37:J37"/>
    <mergeCell ref="I42:J42"/>
    <mergeCell ref="F35:G35"/>
    <mergeCell ref="I35:J35"/>
    <mergeCell ref="F37:G37"/>
    <mergeCell ref="B27:C27"/>
    <mergeCell ref="F27:G27"/>
    <mergeCell ref="F38:G38"/>
    <mergeCell ref="I38:J38"/>
    <mergeCell ref="F28:G28"/>
    <mergeCell ref="H69:K69"/>
    <mergeCell ref="M69:P69"/>
    <mergeCell ref="M67:P67"/>
    <mergeCell ref="M68:P68"/>
    <mergeCell ref="H68:K68"/>
    <mergeCell ref="D68:F68"/>
    <mergeCell ref="M40:N40"/>
    <mergeCell ref="M23:N23"/>
    <mergeCell ref="I23:J23"/>
    <mergeCell ref="F33:G33"/>
    <mergeCell ref="F39:G39"/>
    <mergeCell ref="F23:G23"/>
    <mergeCell ref="F24:G24"/>
    <mergeCell ref="F40:G40"/>
    <mergeCell ref="I39:J39"/>
    <mergeCell ref="M35:N35"/>
    <mergeCell ref="M36:N36"/>
    <mergeCell ref="M33:N33"/>
    <mergeCell ref="M39:N39"/>
    <mergeCell ref="I33:J33"/>
    <mergeCell ref="M32:N32"/>
    <mergeCell ref="M31:N31"/>
    <mergeCell ref="M30:O30"/>
    <mergeCell ref="I25:J25"/>
    <mergeCell ref="A64:B64"/>
    <mergeCell ref="N1:O1"/>
    <mergeCell ref="F12:G12"/>
    <mergeCell ref="I12:J12"/>
    <mergeCell ref="M12:N12"/>
    <mergeCell ref="F62:G62"/>
    <mergeCell ref="I62:J62"/>
    <mergeCell ref="M62:N62"/>
    <mergeCell ref="B62:C62"/>
    <mergeCell ref="F58:G58"/>
    <mergeCell ref="F16:G16"/>
    <mergeCell ref="I16:J16"/>
    <mergeCell ref="M16:N16"/>
    <mergeCell ref="F21:G21"/>
    <mergeCell ref="I21:J21"/>
    <mergeCell ref="M21:N21"/>
    <mergeCell ref="I9:J9"/>
    <mergeCell ref="M9:N9"/>
    <mergeCell ref="F4:G4"/>
    <mergeCell ref="I4:J4"/>
    <mergeCell ref="C64:F64"/>
    <mergeCell ref="G64:K64"/>
    <mergeCell ref="L64:P64"/>
    <mergeCell ref="M24:N24"/>
    <mergeCell ref="A2:C2"/>
    <mergeCell ref="F2:H2"/>
    <mergeCell ref="I2:K2"/>
    <mergeCell ref="M2:O2"/>
    <mergeCell ref="F11:G11"/>
    <mergeCell ref="I11:J11"/>
    <mergeCell ref="M11:N11"/>
    <mergeCell ref="F10:G10"/>
    <mergeCell ref="I10:J10"/>
    <mergeCell ref="M10:N10"/>
    <mergeCell ref="F3:G3"/>
    <mergeCell ref="I3:J3"/>
    <mergeCell ref="M3:N3"/>
    <mergeCell ref="F6:G6"/>
    <mergeCell ref="I6:J6"/>
    <mergeCell ref="M6:N6"/>
    <mergeCell ref="F7:G7"/>
    <mergeCell ref="F9:G9"/>
    <mergeCell ref="M4:N4"/>
    <mergeCell ref="I7:J7"/>
    <mergeCell ref="M7:N7"/>
    <mergeCell ref="F8:G8"/>
    <mergeCell ref="I8:J8"/>
    <mergeCell ref="M8:N8"/>
    <mergeCell ref="B61:C61"/>
    <mergeCell ref="F61:G61"/>
    <mergeCell ref="I61:J61"/>
    <mergeCell ref="D69:F69"/>
    <mergeCell ref="F25:G25"/>
    <mergeCell ref="D82:F82"/>
    <mergeCell ref="H82:K82"/>
    <mergeCell ref="M82:P82"/>
    <mergeCell ref="D76:F76"/>
    <mergeCell ref="D81:F81"/>
    <mergeCell ref="H81:K81"/>
    <mergeCell ref="M81:P81"/>
    <mergeCell ref="D78:F78"/>
    <mergeCell ref="H78:K78"/>
    <mergeCell ref="M78:P78"/>
    <mergeCell ref="D79:F79"/>
    <mergeCell ref="H79:K79"/>
    <mergeCell ref="M79:P79"/>
    <mergeCell ref="D80:F80"/>
    <mergeCell ref="H80:K80"/>
    <mergeCell ref="M80:P80"/>
    <mergeCell ref="H70:K70"/>
    <mergeCell ref="D77:F77"/>
    <mergeCell ref="H77:K77"/>
    <mergeCell ref="Q21:R29"/>
    <mergeCell ref="B13:C13"/>
    <mergeCell ref="F13:G13"/>
    <mergeCell ref="I13:J13"/>
    <mergeCell ref="M13:N13"/>
    <mergeCell ref="B29:C29"/>
    <mergeCell ref="F29:G29"/>
    <mergeCell ref="I29:J29"/>
    <mergeCell ref="M29:N29"/>
    <mergeCell ref="B25:C25"/>
    <mergeCell ref="I18:J18"/>
    <mergeCell ref="F19:G19"/>
    <mergeCell ref="F20:G20"/>
    <mergeCell ref="I20:J20"/>
    <mergeCell ref="B19:C19"/>
    <mergeCell ref="B23:C23"/>
    <mergeCell ref="F18:G18"/>
    <mergeCell ref="M20:N20"/>
    <mergeCell ref="M18:N18"/>
    <mergeCell ref="F22:G22"/>
    <mergeCell ref="M19:N19"/>
    <mergeCell ref="M17:N17"/>
    <mergeCell ref="F17:G17"/>
    <mergeCell ref="I17:J17"/>
    <mergeCell ref="D71:F71"/>
    <mergeCell ref="M72:P72"/>
    <mergeCell ref="D73:F73"/>
    <mergeCell ref="M73:P73"/>
    <mergeCell ref="H72:K72"/>
    <mergeCell ref="H73:K73"/>
    <mergeCell ref="M70:P70"/>
    <mergeCell ref="H71:K71"/>
    <mergeCell ref="M71:P71"/>
    <mergeCell ref="D70:F70"/>
    <mergeCell ref="D72:F72"/>
    <mergeCell ref="M77:P77"/>
    <mergeCell ref="D74:F74"/>
    <mergeCell ref="H76:K76"/>
    <mergeCell ref="M76:P76"/>
    <mergeCell ref="H74:K74"/>
    <mergeCell ref="M74:P74"/>
    <mergeCell ref="D75:F75"/>
    <mergeCell ref="H75:K75"/>
    <mergeCell ref="M75:P75"/>
    <mergeCell ref="I19:J19"/>
    <mergeCell ref="F5:G5"/>
    <mergeCell ref="I5:J5"/>
    <mergeCell ref="M5:N5"/>
    <mergeCell ref="M25:N25"/>
    <mergeCell ref="F14:G14"/>
    <mergeCell ref="I14:J14"/>
    <mergeCell ref="M14:N14"/>
    <mergeCell ref="F15:G15"/>
    <mergeCell ref="I15:J15"/>
    <mergeCell ref="M15:N15"/>
    <mergeCell ref="F60:G60"/>
    <mergeCell ref="I60:J60"/>
    <mergeCell ref="M60:N60"/>
    <mergeCell ref="M38:N38"/>
    <mergeCell ref="B26:C26"/>
    <mergeCell ref="F26:G26"/>
    <mergeCell ref="I26:J26"/>
    <mergeCell ref="M26:N26"/>
    <mergeCell ref="I22:J22"/>
    <mergeCell ref="M22:N22"/>
    <mergeCell ref="I36:J36"/>
    <mergeCell ref="B31:C31"/>
    <mergeCell ref="B24:C24"/>
    <mergeCell ref="I28:J28"/>
    <mergeCell ref="M28:N28"/>
    <mergeCell ref="B59:C59"/>
    <mergeCell ref="I59:J59"/>
    <mergeCell ref="I58:J58"/>
    <mergeCell ref="M58:N58"/>
    <mergeCell ref="M34:N34"/>
    <mergeCell ref="M37:N37"/>
    <mergeCell ref="I27:J27"/>
    <mergeCell ref="M27:N27"/>
    <mergeCell ref="I40:J40"/>
  </mergeCells>
  <conditionalFormatting sqref="M3:O29 M31:O62">
    <cfRule type="expression" dxfId="7" priority="176">
      <formula>IF(IFERROR(VLOOKUP($A3,$A$64:$A$83,1,FALSE),"")&amp;IFERROR(VLOOKUP($A3,$C$64:$C$83,1,FALSE),"")&amp;IFERROR(VLOOKUP($A3,$G$64:$G$83,1,FALSE),"")&amp;IFERROR(VLOOKUP($A3,$L$64:$L$83,1,FALSE),"")&amp;IFERROR(VLOOKUP($A3,$Q$64:$Q$83,1,FALSE),"")="",FALSE(),TRUE())</formula>
    </cfRule>
  </conditionalFormatting>
  <conditionalFormatting sqref="M54:O54">
    <cfRule type="expression" dxfId="6" priority="175">
      <formula>IF(IFERROR(VLOOKUP($A54,$A$84:$A$103,1,FALSE),"")&amp;IFERROR(VLOOKUP($A54,$C$84:$C$103,1,FALSE),"")&amp;IFERROR(VLOOKUP($A54,$H$84:$H$103,1,FALSE),"")&amp;IFERROR(VLOOKUP($A54,$M$84:$M$103,1,FALSE),"")&amp;IFERROR(VLOOKUP($A54,$R$84:$R$103,1,FALSE),"")="",FALSE(),TRUE())</formula>
    </cfRule>
  </conditionalFormatting>
  <conditionalFormatting sqref="P3:P29">
    <cfRule type="expression" dxfId="5" priority="1">
      <formula>AND(P3&lt;&gt;"",O3&lt;&gt;P3)</formula>
    </cfRule>
  </conditionalFormatting>
  <conditionalFormatting sqref="P31:P62">
    <cfRule type="expression" dxfId="4" priority="17">
      <formula>AND(P31&lt;&gt;"",O31&lt;&gt;P31)</formula>
    </cfRule>
  </conditionalFormatting>
  <printOptions horizontalCentered="1"/>
  <pageMargins left="0.25" right="0.25" top="0.75" bottom="0.75" header="0.3" footer="0.3"/>
  <pageSetup paperSize="9" scale="26" orientation="landscape" r:id="rId1"/>
  <rowBreaks count="1" manualBreakCount="1">
    <brk id="56" max="1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97D29-96E3-41B8-80E0-E8EA6780093D}">
  <sheetPr>
    <pageSetUpPr fitToPage="1"/>
  </sheetPr>
  <dimension ref="A1:T112"/>
  <sheetViews>
    <sheetView showGridLines="0" zoomScale="70" zoomScaleNormal="70" workbookViewId="0">
      <pane ySplit="1" topLeftCell="A2" activePane="bottomLeft" state="frozen"/>
      <selection pane="bottomLeft" activeCell="G58" sqref="G58"/>
    </sheetView>
  </sheetViews>
  <sheetFormatPr defaultColWidth="0" defaultRowHeight="0" customHeight="1" zeroHeight="1" x14ac:dyDescent="0.25"/>
  <cols>
    <col min="1" max="1" width="8.7109375" style="2" customWidth="1"/>
    <col min="2" max="2" width="38.140625" style="2" customWidth="1"/>
    <col min="3" max="3" width="13" style="34" customWidth="1"/>
    <col min="4" max="4" width="12.42578125" style="34" bestFit="1" customWidth="1"/>
    <col min="5" max="5" width="17.28515625" style="7" customWidth="1"/>
    <col min="6" max="6" width="9.140625" style="5" customWidth="1"/>
    <col min="7" max="7" width="9" style="1" customWidth="1"/>
    <col min="8" max="8" width="10.7109375" style="1" customWidth="1"/>
    <col min="9" max="9" width="9.7109375" style="1" customWidth="1"/>
    <col min="10" max="10" width="6.7109375" style="1" customWidth="1"/>
    <col min="11" max="11" width="10.7109375" style="10" customWidth="1"/>
    <col min="12" max="12" width="9.28515625" style="1" customWidth="1"/>
    <col min="13" max="13" width="9.85546875" style="1" customWidth="1"/>
    <col min="14" max="14" width="8.28515625" style="1" customWidth="1"/>
    <col min="15" max="15" width="10.140625" style="7" customWidth="1"/>
    <col min="16" max="16" width="15" style="2" bestFit="1" customWidth="1"/>
    <col min="17" max="17" width="8.7109375" style="2" customWidth="1"/>
    <col min="18" max="18" width="39.42578125" style="2" customWidth="1"/>
    <col min="19" max="19" width="1.7109375" style="2" customWidth="1"/>
    <col min="20" max="20" width="0" style="2" hidden="1" customWidth="1"/>
    <col min="21" max="16384" width="9.140625" style="2" hidden="1"/>
  </cols>
  <sheetData>
    <row r="1" spans="1:18" ht="43.5" customHeight="1" x14ac:dyDescent="0.25">
      <c r="B1" s="3" t="s">
        <v>5</v>
      </c>
      <c r="C1" s="12"/>
      <c r="D1" s="12"/>
      <c r="E1" s="9"/>
      <c r="M1" s="10" t="s">
        <v>14</v>
      </c>
      <c r="N1" s="120">
        <v>45819</v>
      </c>
      <c r="O1" s="120"/>
    </row>
    <row r="2" spans="1:18" ht="28.5" customHeight="1" x14ac:dyDescent="0.25">
      <c r="A2" s="109" t="s">
        <v>3</v>
      </c>
      <c r="B2" s="110"/>
      <c r="C2" s="111"/>
      <c r="D2" s="20" t="s">
        <v>15</v>
      </c>
      <c r="E2" s="14" t="s">
        <v>16</v>
      </c>
      <c r="F2" s="112" t="s">
        <v>18</v>
      </c>
      <c r="G2" s="113"/>
      <c r="H2" s="114"/>
      <c r="I2" s="112" t="s">
        <v>17</v>
      </c>
      <c r="J2" s="113"/>
      <c r="K2" s="114"/>
      <c r="L2" s="22" t="s">
        <v>2</v>
      </c>
      <c r="M2" s="115" t="s">
        <v>6</v>
      </c>
      <c r="N2" s="116"/>
      <c r="O2" s="117"/>
      <c r="P2" s="15" t="s">
        <v>81</v>
      </c>
    </row>
    <row r="3" spans="1:18" ht="23.1" customHeight="1" x14ac:dyDescent="0.25">
      <c r="A3" s="27" t="s">
        <v>47</v>
      </c>
      <c r="B3" s="25" t="s">
        <v>78</v>
      </c>
      <c r="C3" s="26"/>
      <c r="D3" s="30">
        <v>18</v>
      </c>
      <c r="E3" s="28"/>
      <c r="F3" s="89">
        <v>45793</v>
      </c>
      <c r="G3" s="90"/>
      <c r="H3" s="21">
        <v>5600</v>
      </c>
      <c r="I3" s="89">
        <v>45811</v>
      </c>
      <c r="J3" s="90"/>
      <c r="K3" s="21">
        <v>5620</v>
      </c>
      <c r="L3" s="23">
        <f t="shared" ref="L3:L21" si="0">I3-F3</f>
        <v>18</v>
      </c>
      <c r="M3" s="91">
        <f t="shared" ref="M3:M21" si="1">IF(WEEKDAY((I3+D3))=7,(I3+D3)-1,IF(WEEKDAY((I3+D3))=1,(I3+D3)-2,(I3+D3)))</f>
        <v>45828</v>
      </c>
      <c r="N3" s="91"/>
      <c r="O3" s="4" t="str">
        <f t="shared" ref="O3:O21" si="2">IFERROR(TEXT(WEEKDAY(M3),"ddd"),"")</f>
        <v>sex</v>
      </c>
      <c r="P3" s="19"/>
    </row>
    <row r="4" spans="1:18" ht="23.1" customHeight="1" x14ac:dyDescent="0.25">
      <c r="A4" s="27" t="s">
        <v>48</v>
      </c>
      <c r="B4" s="25" t="s">
        <v>46</v>
      </c>
      <c r="C4" s="26"/>
      <c r="D4" s="30">
        <v>3</v>
      </c>
      <c r="E4" s="28"/>
      <c r="F4" s="89">
        <v>45818</v>
      </c>
      <c r="G4" s="90"/>
      <c r="H4" s="21"/>
      <c r="I4" s="89">
        <v>45820</v>
      </c>
      <c r="J4" s="90"/>
      <c r="K4" s="21"/>
      <c r="L4" s="23">
        <f t="shared" si="0"/>
        <v>2</v>
      </c>
      <c r="M4" s="91">
        <f t="shared" si="1"/>
        <v>45821</v>
      </c>
      <c r="N4" s="91"/>
      <c r="O4" s="4" t="str">
        <f t="shared" si="2"/>
        <v>sex</v>
      </c>
      <c r="P4" s="19"/>
    </row>
    <row r="5" spans="1:18" ht="23.1" customHeight="1" x14ac:dyDescent="0.25">
      <c r="A5" s="27" t="s">
        <v>33</v>
      </c>
      <c r="B5" s="25" t="s">
        <v>34</v>
      </c>
      <c r="C5" s="26"/>
      <c r="D5" s="30">
        <v>20</v>
      </c>
      <c r="E5" s="28"/>
      <c r="F5" s="89">
        <v>45783</v>
      </c>
      <c r="G5" s="90"/>
      <c r="H5" s="21">
        <v>3600</v>
      </c>
      <c r="I5" s="89">
        <v>45804</v>
      </c>
      <c r="J5" s="90"/>
      <c r="K5" s="21">
        <v>3670</v>
      </c>
      <c r="L5" s="23">
        <f t="shared" si="0"/>
        <v>21</v>
      </c>
      <c r="M5" s="91">
        <f t="shared" si="1"/>
        <v>45824</v>
      </c>
      <c r="N5" s="91"/>
      <c r="O5" s="4" t="str">
        <f t="shared" si="2"/>
        <v>seg</v>
      </c>
      <c r="P5" s="19"/>
    </row>
    <row r="6" spans="1:18" s="56" customFormat="1" ht="23.1" customHeight="1" x14ac:dyDescent="0.25">
      <c r="A6" s="48" t="s">
        <v>56</v>
      </c>
      <c r="B6" s="49" t="s">
        <v>57</v>
      </c>
      <c r="C6" s="50"/>
      <c r="D6" s="51">
        <v>20</v>
      </c>
      <c r="E6" s="52"/>
      <c r="F6" s="94">
        <v>45786</v>
      </c>
      <c r="G6" s="95"/>
      <c r="H6" s="53">
        <v>5490</v>
      </c>
      <c r="I6" s="94">
        <v>45807</v>
      </c>
      <c r="J6" s="95"/>
      <c r="K6" s="53">
        <v>6460</v>
      </c>
      <c r="L6" s="54">
        <f t="shared" si="0"/>
        <v>21</v>
      </c>
      <c r="M6" s="96">
        <f t="shared" si="1"/>
        <v>45827</v>
      </c>
      <c r="N6" s="96"/>
      <c r="O6" s="55" t="str">
        <f t="shared" si="2"/>
        <v>qui</v>
      </c>
      <c r="P6" s="29"/>
    </row>
    <row r="7" spans="1:18" ht="23.1" customHeight="1" x14ac:dyDescent="0.25">
      <c r="A7" s="27" t="s">
        <v>54</v>
      </c>
      <c r="B7" s="25" t="s">
        <v>53</v>
      </c>
      <c r="C7" s="26"/>
      <c r="D7" s="30">
        <v>20</v>
      </c>
      <c r="E7" s="28"/>
      <c r="F7" s="89">
        <v>45797</v>
      </c>
      <c r="G7" s="90"/>
      <c r="H7" s="21">
        <v>4530</v>
      </c>
      <c r="I7" s="89">
        <v>45818</v>
      </c>
      <c r="J7" s="90"/>
      <c r="K7" s="21">
        <v>4800</v>
      </c>
      <c r="L7" s="23">
        <f t="shared" si="0"/>
        <v>21</v>
      </c>
      <c r="M7" s="91">
        <f t="shared" si="1"/>
        <v>45838</v>
      </c>
      <c r="N7" s="91"/>
      <c r="O7" s="4" t="str">
        <f t="shared" si="2"/>
        <v>seg</v>
      </c>
      <c r="P7" s="19"/>
    </row>
    <row r="8" spans="1:18" ht="23.1" customHeight="1" x14ac:dyDescent="0.25">
      <c r="A8" s="27" t="s">
        <v>22</v>
      </c>
      <c r="B8" s="25" t="s">
        <v>39</v>
      </c>
      <c r="C8" s="26"/>
      <c r="D8" s="30">
        <v>20</v>
      </c>
      <c r="E8" s="28" t="s">
        <v>0</v>
      </c>
      <c r="F8" s="89">
        <v>45798</v>
      </c>
      <c r="G8" s="90"/>
      <c r="H8" s="21"/>
      <c r="I8" s="89">
        <v>45813</v>
      </c>
      <c r="J8" s="90"/>
      <c r="K8" s="21"/>
      <c r="L8" s="23">
        <f t="shared" si="0"/>
        <v>15</v>
      </c>
      <c r="M8" s="91">
        <f t="shared" si="1"/>
        <v>45833</v>
      </c>
      <c r="N8" s="91"/>
      <c r="O8" s="4" t="str">
        <f t="shared" si="2"/>
        <v>qua</v>
      </c>
      <c r="P8" s="19"/>
    </row>
    <row r="9" spans="1:18" ht="23.1" customHeight="1" x14ac:dyDescent="0.25">
      <c r="A9" s="27" t="s">
        <v>23</v>
      </c>
      <c r="B9" s="25" t="s">
        <v>40</v>
      </c>
      <c r="C9" s="26"/>
      <c r="D9" s="30">
        <v>12</v>
      </c>
      <c r="E9" s="28" t="s">
        <v>0</v>
      </c>
      <c r="F9" s="89">
        <v>45807</v>
      </c>
      <c r="G9" s="90"/>
      <c r="H9" s="21"/>
      <c r="I9" s="89">
        <v>45817</v>
      </c>
      <c r="J9" s="90"/>
      <c r="K9" s="21"/>
      <c r="L9" s="23">
        <f t="shared" si="0"/>
        <v>10</v>
      </c>
      <c r="M9" s="91">
        <f t="shared" si="1"/>
        <v>45828</v>
      </c>
      <c r="N9" s="91"/>
      <c r="O9" s="4" t="str">
        <f>IFERROR(TEXT(WEEKDAY(M9),"ddd"),"")</f>
        <v>sex</v>
      </c>
      <c r="P9" s="19"/>
    </row>
    <row r="10" spans="1:18" ht="23.1" customHeight="1" x14ac:dyDescent="0.25">
      <c r="A10" s="27" t="s">
        <v>72</v>
      </c>
      <c r="B10" s="25" t="s">
        <v>70</v>
      </c>
      <c r="C10" s="26"/>
      <c r="D10" s="30">
        <v>20</v>
      </c>
      <c r="E10" s="28"/>
      <c r="F10" s="89">
        <v>45791</v>
      </c>
      <c r="G10" s="90"/>
      <c r="H10" s="21"/>
      <c r="I10" s="89">
        <v>45806</v>
      </c>
      <c r="J10" s="90"/>
      <c r="K10" s="21"/>
      <c r="L10" s="23">
        <f t="shared" si="0"/>
        <v>15</v>
      </c>
      <c r="M10" s="91">
        <f t="shared" si="1"/>
        <v>45826</v>
      </c>
      <c r="N10" s="91"/>
      <c r="O10" s="4" t="str">
        <f t="shared" ref="O10:O13" si="3">IFERROR(TEXT(WEEKDAY(M10),"ddd"),"")</f>
        <v>qua</v>
      </c>
      <c r="P10" s="19"/>
    </row>
    <row r="11" spans="1:18" ht="23.1" customHeight="1" x14ac:dyDescent="0.25">
      <c r="A11" s="27" t="s">
        <v>75</v>
      </c>
      <c r="B11" s="102" t="s">
        <v>76</v>
      </c>
      <c r="C11" s="102"/>
      <c r="D11" s="30">
        <v>20</v>
      </c>
      <c r="E11" s="28"/>
      <c r="F11" s="89">
        <v>45800</v>
      </c>
      <c r="G11" s="90"/>
      <c r="H11" s="21"/>
      <c r="I11" s="89">
        <v>45819</v>
      </c>
      <c r="J11" s="90"/>
      <c r="K11" s="21"/>
      <c r="L11" s="23">
        <f t="shared" si="0"/>
        <v>19</v>
      </c>
      <c r="M11" s="91">
        <f t="shared" si="1"/>
        <v>45839</v>
      </c>
      <c r="N11" s="91"/>
      <c r="O11" s="4" t="str">
        <f t="shared" si="3"/>
        <v>ter</v>
      </c>
      <c r="P11" s="19"/>
    </row>
    <row r="12" spans="1:18" ht="23.1" customHeight="1" x14ac:dyDescent="0.25">
      <c r="A12" s="27" t="s">
        <v>24</v>
      </c>
      <c r="B12" s="25" t="s">
        <v>79</v>
      </c>
      <c r="C12" s="26"/>
      <c r="D12" s="30">
        <v>13</v>
      </c>
      <c r="E12" s="28"/>
      <c r="F12" s="89">
        <v>45806</v>
      </c>
      <c r="G12" s="90"/>
      <c r="H12" s="21"/>
      <c r="I12" s="89">
        <v>45817</v>
      </c>
      <c r="J12" s="90"/>
      <c r="K12" s="21"/>
      <c r="L12" s="23">
        <f t="shared" si="0"/>
        <v>11</v>
      </c>
      <c r="M12" s="91">
        <f t="shared" si="1"/>
        <v>45828</v>
      </c>
      <c r="N12" s="91"/>
      <c r="O12" s="4" t="str">
        <f t="shared" si="3"/>
        <v>sex</v>
      </c>
      <c r="P12" s="19"/>
    </row>
    <row r="13" spans="1:18" ht="23.1" customHeight="1" x14ac:dyDescent="0.25">
      <c r="A13" s="27" t="s">
        <v>25</v>
      </c>
      <c r="B13" s="25" t="s">
        <v>80</v>
      </c>
      <c r="C13" s="26"/>
      <c r="D13" s="30">
        <v>16</v>
      </c>
      <c r="E13" s="28"/>
      <c r="F13" s="89">
        <v>45799</v>
      </c>
      <c r="G13" s="90"/>
      <c r="H13" s="21"/>
      <c r="I13" s="89">
        <v>45812</v>
      </c>
      <c r="J13" s="90"/>
      <c r="K13" s="21"/>
      <c r="L13" s="23">
        <f t="shared" si="0"/>
        <v>13</v>
      </c>
      <c r="M13" s="91">
        <f t="shared" si="1"/>
        <v>45828</v>
      </c>
      <c r="N13" s="91"/>
      <c r="O13" s="4" t="str">
        <f t="shared" si="3"/>
        <v>sex</v>
      </c>
      <c r="P13" s="19"/>
    </row>
    <row r="14" spans="1:18" ht="23.1" customHeight="1" x14ac:dyDescent="0.25">
      <c r="A14" s="27" t="s">
        <v>26</v>
      </c>
      <c r="B14" s="102" t="s">
        <v>8</v>
      </c>
      <c r="C14" s="103"/>
      <c r="D14" s="30">
        <v>9</v>
      </c>
      <c r="E14" s="28" t="s">
        <v>0</v>
      </c>
      <c r="F14" s="90">
        <v>45806</v>
      </c>
      <c r="G14" s="90"/>
      <c r="H14" s="21"/>
      <c r="I14" s="90">
        <v>45813</v>
      </c>
      <c r="J14" s="90"/>
      <c r="K14" s="21"/>
      <c r="L14" s="23">
        <f>I14-F14</f>
        <v>7</v>
      </c>
      <c r="M14" s="91">
        <f t="shared" si="1"/>
        <v>45821</v>
      </c>
      <c r="N14" s="91"/>
      <c r="O14" s="4" t="str">
        <f>IFERROR(TEXT(WEEKDAY(M14),"ddd"),"")</f>
        <v>sex</v>
      </c>
      <c r="P14" s="19"/>
    </row>
    <row r="15" spans="1:18" ht="23.1" customHeight="1" x14ac:dyDescent="0.25">
      <c r="A15" s="27" t="s">
        <v>27</v>
      </c>
      <c r="B15" s="25" t="s">
        <v>7</v>
      </c>
      <c r="C15" s="26"/>
      <c r="D15" s="30">
        <v>13</v>
      </c>
      <c r="E15" s="28"/>
      <c r="F15" s="89">
        <v>45805</v>
      </c>
      <c r="G15" s="90"/>
      <c r="H15" s="21"/>
      <c r="I15" s="89">
        <v>45818</v>
      </c>
      <c r="J15" s="90"/>
      <c r="K15" s="21"/>
      <c r="L15" s="23">
        <f t="shared" ref="L15" si="4">I15-F15</f>
        <v>13</v>
      </c>
      <c r="M15" s="91">
        <f t="shared" si="1"/>
        <v>45831</v>
      </c>
      <c r="N15" s="91"/>
      <c r="O15" s="4" t="str">
        <f t="shared" ref="O15" si="5">IFERROR(TEXT(WEEKDAY(M15),"ddd"),"")</f>
        <v>seg</v>
      </c>
      <c r="P15" s="19"/>
    </row>
    <row r="16" spans="1:18" s="66" customFormat="1" ht="23.1" customHeight="1" x14ac:dyDescent="0.25">
      <c r="A16" s="57" t="s">
        <v>37</v>
      </c>
      <c r="B16" s="58" t="s">
        <v>36</v>
      </c>
      <c r="C16" s="59"/>
      <c r="D16" s="60">
        <v>15</v>
      </c>
      <c r="E16" s="61"/>
      <c r="F16" s="126">
        <v>45793</v>
      </c>
      <c r="G16" s="127"/>
      <c r="H16" s="62"/>
      <c r="I16" s="126">
        <v>45805</v>
      </c>
      <c r="J16" s="127"/>
      <c r="K16" s="62"/>
      <c r="L16" s="63">
        <f t="shared" si="0"/>
        <v>12</v>
      </c>
      <c r="M16" s="128">
        <f t="shared" si="1"/>
        <v>45820</v>
      </c>
      <c r="N16" s="128"/>
      <c r="O16" s="64" t="str">
        <f t="shared" si="2"/>
        <v>qui</v>
      </c>
      <c r="P16" s="65"/>
      <c r="Q16" s="124" t="s">
        <v>95</v>
      </c>
      <c r="R16" s="125"/>
    </row>
    <row r="17" spans="1:18" s="66" customFormat="1" ht="23.1" customHeight="1" x14ac:dyDescent="0.25">
      <c r="A17" s="57" t="s">
        <v>35</v>
      </c>
      <c r="B17" s="58" t="s">
        <v>44</v>
      </c>
      <c r="C17" s="59"/>
      <c r="D17" s="60">
        <v>10</v>
      </c>
      <c r="E17" s="61"/>
      <c r="F17" s="126"/>
      <c r="G17" s="127"/>
      <c r="H17" s="62"/>
      <c r="I17" s="126">
        <v>45818</v>
      </c>
      <c r="J17" s="127"/>
      <c r="K17" s="62"/>
      <c r="L17" s="63">
        <f t="shared" si="0"/>
        <v>45818</v>
      </c>
      <c r="M17" s="128">
        <f t="shared" si="1"/>
        <v>45828</v>
      </c>
      <c r="N17" s="128"/>
      <c r="O17" s="64" t="str">
        <f t="shared" si="2"/>
        <v>sex</v>
      </c>
      <c r="P17" s="65" t="s">
        <v>12</v>
      </c>
      <c r="Q17" s="124"/>
      <c r="R17" s="125"/>
    </row>
    <row r="18" spans="1:18" ht="23.1" customHeight="1" x14ac:dyDescent="0.25">
      <c r="A18" s="40" t="s">
        <v>28</v>
      </c>
      <c r="B18" s="129" t="s">
        <v>19</v>
      </c>
      <c r="C18" s="130"/>
      <c r="D18" s="41">
        <v>10</v>
      </c>
      <c r="E18" s="42"/>
      <c r="F18" s="131">
        <v>45799</v>
      </c>
      <c r="G18" s="132"/>
      <c r="H18" s="43"/>
      <c r="I18" s="131">
        <v>45812</v>
      </c>
      <c r="J18" s="132"/>
      <c r="K18" s="43"/>
      <c r="L18" s="44">
        <f t="shared" si="0"/>
        <v>13</v>
      </c>
      <c r="M18" s="133">
        <f t="shared" si="1"/>
        <v>45821</v>
      </c>
      <c r="N18" s="133"/>
      <c r="O18" s="45" t="str">
        <f t="shared" si="2"/>
        <v>sex</v>
      </c>
      <c r="P18" s="46"/>
      <c r="Q18" s="124"/>
      <c r="R18" s="125"/>
    </row>
    <row r="19" spans="1:18" ht="23.1" customHeight="1" x14ac:dyDescent="0.25">
      <c r="A19" s="40" t="s">
        <v>29</v>
      </c>
      <c r="B19" s="129" t="s">
        <v>8</v>
      </c>
      <c r="C19" s="130"/>
      <c r="D19" s="41">
        <v>4</v>
      </c>
      <c r="E19" s="42"/>
      <c r="F19" s="134">
        <v>45813</v>
      </c>
      <c r="G19" s="135"/>
      <c r="H19" s="47"/>
      <c r="I19" s="134">
        <v>45817</v>
      </c>
      <c r="J19" s="135"/>
      <c r="K19" s="43"/>
      <c r="L19" s="44">
        <f t="shared" si="0"/>
        <v>4</v>
      </c>
      <c r="M19" s="133">
        <f t="shared" si="1"/>
        <v>45821</v>
      </c>
      <c r="N19" s="133"/>
      <c r="O19" s="45" t="str">
        <f t="shared" si="2"/>
        <v>sex</v>
      </c>
      <c r="P19" s="46"/>
      <c r="Q19" s="124"/>
      <c r="R19" s="125"/>
    </row>
    <row r="20" spans="1:18" ht="23.1" customHeight="1" x14ac:dyDescent="0.25">
      <c r="A20" s="40" t="s">
        <v>30</v>
      </c>
      <c r="B20" s="129" t="s">
        <v>7</v>
      </c>
      <c r="C20" s="130"/>
      <c r="D20" s="41">
        <v>5</v>
      </c>
      <c r="E20" s="42"/>
      <c r="F20" s="131">
        <v>45812</v>
      </c>
      <c r="G20" s="132"/>
      <c r="H20" s="43"/>
      <c r="I20" s="131">
        <v>45817</v>
      </c>
      <c r="J20" s="132"/>
      <c r="K20" s="43"/>
      <c r="L20" s="44">
        <f t="shared" si="0"/>
        <v>5</v>
      </c>
      <c r="M20" s="133">
        <f t="shared" si="1"/>
        <v>45821</v>
      </c>
      <c r="N20" s="133"/>
      <c r="O20" s="45" t="str">
        <f t="shared" si="2"/>
        <v>sex</v>
      </c>
      <c r="P20" s="46"/>
      <c r="Q20" s="124"/>
      <c r="R20" s="125"/>
    </row>
    <row r="21" spans="1:18" ht="23.1" customHeight="1" x14ac:dyDescent="0.25">
      <c r="A21" s="40" t="s">
        <v>77</v>
      </c>
      <c r="B21" s="129" t="s">
        <v>76</v>
      </c>
      <c r="C21" s="130"/>
      <c r="D21" s="41">
        <v>10</v>
      </c>
      <c r="E21" s="42"/>
      <c r="F21" s="131">
        <v>45807</v>
      </c>
      <c r="G21" s="132"/>
      <c r="H21" s="43">
        <v>0</v>
      </c>
      <c r="I21" s="131">
        <v>45819</v>
      </c>
      <c r="J21" s="132"/>
      <c r="K21" s="43"/>
      <c r="L21" s="44">
        <f t="shared" si="0"/>
        <v>12</v>
      </c>
      <c r="M21" s="133">
        <f t="shared" si="1"/>
        <v>45828</v>
      </c>
      <c r="N21" s="133"/>
      <c r="O21" s="45" t="str">
        <f t="shared" si="2"/>
        <v>sex</v>
      </c>
      <c r="P21" s="46"/>
      <c r="Q21" s="124"/>
      <c r="R21" s="125"/>
    </row>
    <row r="22" spans="1:18" ht="8.1" customHeight="1" x14ac:dyDescent="0.25">
      <c r="C22" s="16"/>
      <c r="D22" s="16"/>
      <c r="E22" s="11"/>
      <c r="F22" s="7"/>
      <c r="G22" s="5"/>
      <c r="J22" s="10"/>
      <c r="N22" s="7"/>
      <c r="O22" s="2"/>
    </row>
    <row r="23" spans="1:18" ht="30.75" customHeight="1" x14ac:dyDescent="0.25">
      <c r="A23" s="109" t="s">
        <v>4</v>
      </c>
      <c r="B23" s="110"/>
      <c r="C23" s="111"/>
      <c r="D23" s="20" t="s">
        <v>15</v>
      </c>
      <c r="E23" s="14" t="s">
        <v>16</v>
      </c>
      <c r="F23" s="112" t="s">
        <v>18</v>
      </c>
      <c r="G23" s="113"/>
      <c r="H23" s="114"/>
      <c r="I23" s="112" t="s">
        <v>17</v>
      </c>
      <c r="J23" s="113"/>
      <c r="K23" s="114"/>
      <c r="L23" s="22" t="s">
        <v>2</v>
      </c>
      <c r="M23" s="115" t="s">
        <v>6</v>
      </c>
      <c r="N23" s="116"/>
      <c r="O23" s="117"/>
      <c r="P23" s="15" t="s">
        <v>11</v>
      </c>
    </row>
    <row r="24" spans="1:18" ht="23.1" hidden="1" customHeight="1" x14ac:dyDescent="0.25">
      <c r="A24" s="27" t="s">
        <v>49</v>
      </c>
      <c r="B24" s="100" t="s">
        <v>10</v>
      </c>
      <c r="C24" s="101"/>
      <c r="D24" s="18">
        <v>14</v>
      </c>
      <c r="E24" s="28" t="s">
        <v>20</v>
      </c>
      <c r="F24" s="90">
        <v>45463</v>
      </c>
      <c r="G24" s="90"/>
      <c r="H24" s="24">
        <v>620</v>
      </c>
      <c r="I24" s="90">
        <v>45477</v>
      </c>
      <c r="J24" s="90"/>
      <c r="K24" s="24">
        <v>360</v>
      </c>
      <c r="L24" s="23">
        <f>I24-F24</f>
        <v>14</v>
      </c>
      <c r="M24" s="91">
        <f t="shared" ref="M24:M50" si="6">IF(WEEKDAY((I24+D24))=7,(I24+D24)-1,IF(WEEKDAY((I24+D24))=1,(I24+D24)-2,(I24+D24)))</f>
        <v>45491</v>
      </c>
      <c r="N24" s="91"/>
      <c r="O24" s="4" t="str">
        <f t="shared" ref="O24:O50" si="7">IFERROR(TEXT(WEEKDAY(M24),"ddd"),"")</f>
        <v>qui</v>
      </c>
      <c r="P24" s="31"/>
    </row>
    <row r="25" spans="1:18" ht="23.1" customHeight="1" x14ac:dyDescent="0.25">
      <c r="A25" s="17">
        <v>18</v>
      </c>
      <c r="B25" s="25" t="s">
        <v>9</v>
      </c>
      <c r="C25" s="26"/>
      <c r="D25" s="18">
        <v>7</v>
      </c>
      <c r="E25" s="28" t="s">
        <v>20</v>
      </c>
      <c r="F25" s="89">
        <v>45800</v>
      </c>
      <c r="G25" s="90"/>
      <c r="H25" s="24"/>
      <c r="I25" s="89">
        <v>45807</v>
      </c>
      <c r="J25" s="90"/>
      <c r="K25" s="24"/>
      <c r="L25" s="23">
        <f t="shared" ref="L25:L50" si="8">I25-F25</f>
        <v>7</v>
      </c>
      <c r="M25" s="91">
        <f t="shared" si="6"/>
        <v>45814</v>
      </c>
      <c r="N25" s="91"/>
      <c r="O25" s="4" t="str">
        <f t="shared" si="7"/>
        <v>sex</v>
      </c>
      <c r="P25" s="19"/>
    </row>
    <row r="26" spans="1:18" ht="23.1" customHeight="1" x14ac:dyDescent="0.25">
      <c r="A26" s="17">
        <v>26</v>
      </c>
      <c r="B26" s="25" t="s">
        <v>91</v>
      </c>
      <c r="C26" s="26"/>
      <c r="D26" s="18">
        <v>14</v>
      </c>
      <c r="E26" s="28" t="s">
        <v>20</v>
      </c>
      <c r="F26" s="89">
        <v>45796</v>
      </c>
      <c r="G26" s="90"/>
      <c r="H26" s="24"/>
      <c r="I26" s="89">
        <v>45810</v>
      </c>
      <c r="J26" s="90"/>
      <c r="K26" s="24"/>
      <c r="L26" s="23">
        <f t="shared" si="8"/>
        <v>14</v>
      </c>
      <c r="M26" s="91">
        <f t="shared" si="6"/>
        <v>45824</v>
      </c>
      <c r="N26" s="91"/>
      <c r="O26" s="4" t="str">
        <f t="shared" si="7"/>
        <v>seg</v>
      </c>
      <c r="P26" s="19"/>
    </row>
    <row r="27" spans="1:18" ht="21" x14ac:dyDescent="0.25">
      <c r="A27" s="17">
        <v>11</v>
      </c>
      <c r="B27" s="25" t="s">
        <v>74</v>
      </c>
      <c r="C27" s="26"/>
      <c r="D27" s="18">
        <v>26</v>
      </c>
      <c r="E27" s="28" t="s">
        <v>0</v>
      </c>
      <c r="F27" s="89">
        <v>45783</v>
      </c>
      <c r="G27" s="90"/>
      <c r="H27" s="24"/>
      <c r="I27" s="89">
        <v>45807</v>
      </c>
      <c r="J27" s="90"/>
      <c r="K27" s="24"/>
      <c r="L27" s="23">
        <f t="shared" si="8"/>
        <v>24</v>
      </c>
      <c r="M27" s="91">
        <f t="shared" si="6"/>
        <v>45833</v>
      </c>
      <c r="N27" s="91"/>
      <c r="O27" s="4" t="str">
        <f t="shared" si="7"/>
        <v>qua</v>
      </c>
      <c r="P27" s="19"/>
    </row>
    <row r="28" spans="1:18" ht="23.1" hidden="1" customHeight="1" x14ac:dyDescent="0.25">
      <c r="A28" s="17">
        <v>1296</v>
      </c>
      <c r="B28" s="32" t="s">
        <v>44</v>
      </c>
      <c r="C28" s="26"/>
      <c r="D28" s="18">
        <v>30</v>
      </c>
      <c r="E28" s="28" t="s">
        <v>20</v>
      </c>
      <c r="F28" s="89">
        <v>45301</v>
      </c>
      <c r="G28" s="90"/>
      <c r="H28" s="24"/>
      <c r="I28" s="89">
        <v>45313</v>
      </c>
      <c r="J28" s="90"/>
      <c r="K28" s="24"/>
      <c r="L28" s="23">
        <f t="shared" si="8"/>
        <v>12</v>
      </c>
      <c r="M28" s="91">
        <f t="shared" si="6"/>
        <v>45343</v>
      </c>
      <c r="N28" s="91"/>
      <c r="O28" s="4" t="str">
        <f t="shared" si="7"/>
        <v>qua</v>
      </c>
      <c r="P28" s="19"/>
    </row>
    <row r="29" spans="1:18" ht="23.1" customHeight="1" x14ac:dyDescent="0.25">
      <c r="A29" s="17">
        <v>1430</v>
      </c>
      <c r="B29" s="25" t="s">
        <v>51</v>
      </c>
      <c r="C29" s="26"/>
      <c r="D29" s="18">
        <v>7</v>
      </c>
      <c r="E29" s="28" t="s">
        <v>20</v>
      </c>
      <c r="F29" s="89">
        <v>45799</v>
      </c>
      <c r="G29" s="90"/>
      <c r="H29" s="24"/>
      <c r="I29" s="89">
        <v>45806</v>
      </c>
      <c r="J29" s="90"/>
      <c r="K29" s="24"/>
      <c r="L29" s="23">
        <f t="shared" si="8"/>
        <v>7</v>
      </c>
      <c r="M29" s="91">
        <f t="shared" si="6"/>
        <v>45813</v>
      </c>
      <c r="N29" s="91"/>
      <c r="O29" s="4" t="str">
        <f t="shared" si="7"/>
        <v>qui</v>
      </c>
      <c r="P29" s="19"/>
    </row>
    <row r="30" spans="1:18" ht="23.1" customHeight="1" x14ac:dyDescent="0.25">
      <c r="A30" s="17">
        <v>1425</v>
      </c>
      <c r="B30" s="25" t="s">
        <v>52</v>
      </c>
      <c r="C30" s="26"/>
      <c r="D30" s="18">
        <v>7</v>
      </c>
      <c r="E30" s="28" t="s">
        <v>20</v>
      </c>
      <c r="F30" s="89">
        <v>45807</v>
      </c>
      <c r="G30" s="90"/>
      <c r="H30" s="24"/>
      <c r="I30" s="89">
        <v>45810</v>
      </c>
      <c r="J30" s="90"/>
      <c r="K30" s="24"/>
      <c r="L30" s="23">
        <f t="shared" si="8"/>
        <v>3</v>
      </c>
      <c r="M30" s="91">
        <f t="shared" si="6"/>
        <v>45817</v>
      </c>
      <c r="N30" s="91"/>
      <c r="O30" s="4" t="str">
        <f t="shared" si="7"/>
        <v>seg</v>
      </c>
      <c r="P30" s="19"/>
    </row>
    <row r="31" spans="1:18" ht="23.1" customHeight="1" x14ac:dyDescent="0.25">
      <c r="A31" s="27" t="s">
        <v>66</v>
      </c>
      <c r="B31" s="32" t="s">
        <v>65</v>
      </c>
      <c r="C31" s="26"/>
      <c r="D31" s="18">
        <v>14</v>
      </c>
      <c r="E31" s="28" t="s">
        <v>20</v>
      </c>
      <c r="F31" s="89">
        <v>45782</v>
      </c>
      <c r="G31" s="90"/>
      <c r="H31" s="24"/>
      <c r="I31" s="89">
        <v>45796</v>
      </c>
      <c r="J31" s="90"/>
      <c r="K31" s="24"/>
      <c r="L31" s="23">
        <f t="shared" si="8"/>
        <v>14</v>
      </c>
      <c r="M31" s="91">
        <f t="shared" si="6"/>
        <v>45810</v>
      </c>
      <c r="N31" s="91"/>
      <c r="O31" s="4" t="str">
        <f t="shared" si="7"/>
        <v>seg</v>
      </c>
      <c r="P31" s="19"/>
    </row>
    <row r="32" spans="1:18" ht="23.1" customHeight="1" x14ac:dyDescent="0.25">
      <c r="A32" s="27" t="s">
        <v>62</v>
      </c>
      <c r="B32" s="32" t="s">
        <v>63</v>
      </c>
      <c r="C32" s="26"/>
      <c r="D32" s="18">
        <v>14</v>
      </c>
      <c r="E32" s="28" t="s">
        <v>20</v>
      </c>
      <c r="F32" s="89">
        <v>45789</v>
      </c>
      <c r="G32" s="90"/>
      <c r="H32" s="24"/>
      <c r="I32" s="89">
        <v>45803</v>
      </c>
      <c r="J32" s="90"/>
      <c r="K32" s="24"/>
      <c r="L32" s="23">
        <f t="shared" si="8"/>
        <v>14</v>
      </c>
      <c r="M32" s="91">
        <f t="shared" si="6"/>
        <v>45817</v>
      </c>
      <c r="N32" s="91"/>
      <c r="O32" s="4" t="str">
        <f t="shared" si="7"/>
        <v>seg</v>
      </c>
      <c r="P32" s="19"/>
    </row>
    <row r="33" spans="1:16" ht="23.1" customHeight="1" x14ac:dyDescent="0.25">
      <c r="A33" s="27" t="s">
        <v>60</v>
      </c>
      <c r="B33" s="32" t="s">
        <v>61</v>
      </c>
      <c r="C33" s="26"/>
      <c r="D33" s="18">
        <v>7</v>
      </c>
      <c r="E33" s="28" t="s">
        <v>20</v>
      </c>
      <c r="F33" s="89">
        <v>45803</v>
      </c>
      <c r="G33" s="90"/>
      <c r="H33" s="24"/>
      <c r="I33" s="89">
        <v>45810</v>
      </c>
      <c r="J33" s="90"/>
      <c r="K33" s="24"/>
      <c r="L33" s="23">
        <f t="shared" si="8"/>
        <v>7</v>
      </c>
      <c r="M33" s="91">
        <f t="shared" si="6"/>
        <v>45817</v>
      </c>
      <c r="N33" s="91"/>
      <c r="O33" s="4" t="str">
        <f t="shared" si="7"/>
        <v>seg</v>
      </c>
      <c r="P33" s="19"/>
    </row>
    <row r="34" spans="1:16" ht="23.1" customHeight="1" x14ac:dyDescent="0.25">
      <c r="A34" s="17">
        <v>1437</v>
      </c>
      <c r="B34" s="32" t="s">
        <v>55</v>
      </c>
      <c r="C34" s="26"/>
      <c r="D34" s="18">
        <v>7</v>
      </c>
      <c r="E34" s="28" t="s">
        <v>20</v>
      </c>
      <c r="F34" s="89">
        <v>45800</v>
      </c>
      <c r="G34" s="90"/>
      <c r="H34" s="24"/>
      <c r="I34" s="89">
        <v>45807</v>
      </c>
      <c r="J34" s="90"/>
      <c r="K34" s="24"/>
      <c r="L34" s="23">
        <f t="shared" si="8"/>
        <v>7</v>
      </c>
      <c r="M34" s="91">
        <f t="shared" si="6"/>
        <v>45814</v>
      </c>
      <c r="N34" s="91"/>
      <c r="O34" s="4" t="str">
        <f t="shared" si="7"/>
        <v>sex</v>
      </c>
      <c r="P34" s="19"/>
    </row>
    <row r="35" spans="1:16" ht="23.1" customHeight="1" x14ac:dyDescent="0.25">
      <c r="A35" s="17">
        <v>1438</v>
      </c>
      <c r="B35" s="32" t="s">
        <v>57</v>
      </c>
      <c r="C35" s="26"/>
      <c r="D35" s="18">
        <v>7</v>
      </c>
      <c r="E35" s="28" t="s">
        <v>20</v>
      </c>
      <c r="F35" s="89">
        <v>45803</v>
      </c>
      <c r="G35" s="90"/>
      <c r="H35" s="24"/>
      <c r="I35" s="89">
        <v>45810</v>
      </c>
      <c r="J35" s="90"/>
      <c r="K35" s="24"/>
      <c r="L35" s="23">
        <f t="shared" si="8"/>
        <v>7</v>
      </c>
      <c r="M35" s="91">
        <f t="shared" si="6"/>
        <v>45817</v>
      </c>
      <c r="N35" s="91"/>
      <c r="O35" s="4" t="str">
        <f t="shared" si="7"/>
        <v>seg</v>
      </c>
      <c r="P35" s="19"/>
    </row>
    <row r="36" spans="1:16" ht="23.1" customHeight="1" x14ac:dyDescent="0.25">
      <c r="A36" s="17">
        <v>1436</v>
      </c>
      <c r="B36" s="25" t="s">
        <v>64</v>
      </c>
      <c r="C36" s="26"/>
      <c r="D36" s="18">
        <v>7</v>
      </c>
      <c r="E36" s="28" t="s">
        <v>20</v>
      </c>
      <c r="F36" s="89">
        <v>45797</v>
      </c>
      <c r="G36" s="90"/>
      <c r="H36" s="24"/>
      <c r="I36" s="89">
        <v>45803</v>
      </c>
      <c r="J36" s="90"/>
      <c r="K36" s="24"/>
      <c r="L36" s="23">
        <f t="shared" si="8"/>
        <v>6</v>
      </c>
      <c r="M36" s="91">
        <f t="shared" si="6"/>
        <v>45810</v>
      </c>
      <c r="N36" s="91"/>
      <c r="O36" s="4" t="str">
        <f t="shared" si="7"/>
        <v>seg</v>
      </c>
      <c r="P36" s="19"/>
    </row>
    <row r="37" spans="1:16" ht="23.1" customHeight="1" x14ac:dyDescent="0.25">
      <c r="A37" s="17">
        <v>1434</v>
      </c>
      <c r="B37" s="25" t="s">
        <v>58</v>
      </c>
      <c r="C37" s="26"/>
      <c r="D37" s="18">
        <v>7</v>
      </c>
      <c r="E37" s="28" t="s">
        <v>20</v>
      </c>
      <c r="F37" s="89">
        <v>45797</v>
      </c>
      <c r="G37" s="90"/>
      <c r="H37" s="24"/>
      <c r="I37" s="89">
        <v>45803</v>
      </c>
      <c r="J37" s="90"/>
      <c r="K37" s="24"/>
      <c r="L37" s="23"/>
      <c r="M37" s="91">
        <f t="shared" si="6"/>
        <v>45810</v>
      </c>
      <c r="N37" s="91"/>
      <c r="O37" s="4" t="str">
        <f t="shared" si="7"/>
        <v>seg</v>
      </c>
      <c r="P37" s="19"/>
    </row>
    <row r="38" spans="1:16" ht="23.1" customHeight="1" x14ac:dyDescent="0.25">
      <c r="A38" s="17">
        <v>1440</v>
      </c>
      <c r="B38" s="25" t="s">
        <v>59</v>
      </c>
      <c r="C38" s="26"/>
      <c r="D38" s="18">
        <v>5</v>
      </c>
      <c r="E38" s="28" t="s">
        <v>20</v>
      </c>
      <c r="F38" s="89">
        <v>45355</v>
      </c>
      <c r="G38" s="90"/>
      <c r="H38" s="21"/>
      <c r="I38" s="89">
        <v>45810</v>
      </c>
      <c r="J38" s="90"/>
      <c r="K38" s="21"/>
      <c r="L38" s="23">
        <f t="shared" ref="L38:L39" si="9">I38-F38</f>
        <v>455</v>
      </c>
      <c r="M38" s="91">
        <f t="shared" si="6"/>
        <v>45814</v>
      </c>
      <c r="N38" s="91"/>
      <c r="O38" s="4" t="str">
        <f t="shared" si="7"/>
        <v>sex</v>
      </c>
      <c r="P38" s="19"/>
    </row>
    <row r="39" spans="1:16" ht="21" x14ac:dyDescent="0.25">
      <c r="A39" s="17">
        <v>1435</v>
      </c>
      <c r="B39" s="25" t="s">
        <v>73</v>
      </c>
      <c r="C39" s="26"/>
      <c r="D39" s="18">
        <v>7</v>
      </c>
      <c r="E39" s="28" t="s">
        <v>20</v>
      </c>
      <c r="F39" s="89">
        <v>45805</v>
      </c>
      <c r="G39" s="90"/>
      <c r="H39" s="24"/>
      <c r="I39" s="89">
        <v>45812</v>
      </c>
      <c r="J39" s="90"/>
      <c r="K39" s="24"/>
      <c r="L39" s="23">
        <f t="shared" si="9"/>
        <v>7</v>
      </c>
      <c r="M39" s="91">
        <f t="shared" si="6"/>
        <v>45819</v>
      </c>
      <c r="N39" s="91"/>
      <c r="O39" s="4" t="str">
        <f t="shared" si="7"/>
        <v>qua</v>
      </c>
      <c r="P39" s="19"/>
    </row>
    <row r="40" spans="1:16" ht="22.5" customHeight="1" x14ac:dyDescent="0.25">
      <c r="A40" s="17">
        <v>1457</v>
      </c>
      <c r="B40" s="32" t="s">
        <v>67</v>
      </c>
      <c r="C40" s="26"/>
      <c r="D40" s="18">
        <v>7</v>
      </c>
      <c r="E40" s="28" t="s">
        <v>0</v>
      </c>
      <c r="F40" s="89">
        <v>45798</v>
      </c>
      <c r="G40" s="90"/>
      <c r="H40" s="24"/>
      <c r="I40" s="89">
        <v>45805</v>
      </c>
      <c r="J40" s="90"/>
      <c r="K40" s="24"/>
      <c r="L40" s="23">
        <f t="shared" si="8"/>
        <v>7</v>
      </c>
      <c r="M40" s="91">
        <f t="shared" si="6"/>
        <v>45812</v>
      </c>
      <c r="N40" s="91"/>
      <c r="O40" s="4" t="str">
        <f t="shared" si="7"/>
        <v>qua</v>
      </c>
      <c r="P40" s="19"/>
    </row>
    <row r="41" spans="1:16" ht="22.5" customHeight="1" x14ac:dyDescent="0.25">
      <c r="A41" s="17">
        <v>1456</v>
      </c>
      <c r="B41" s="32" t="s">
        <v>68</v>
      </c>
      <c r="C41" s="26"/>
      <c r="D41" s="18">
        <v>7</v>
      </c>
      <c r="E41" s="28" t="s">
        <v>0</v>
      </c>
      <c r="F41" s="89">
        <v>45799</v>
      </c>
      <c r="G41" s="90"/>
      <c r="H41" s="24"/>
      <c r="I41" s="89">
        <v>45806</v>
      </c>
      <c r="J41" s="90"/>
      <c r="K41" s="24"/>
      <c r="L41" s="23">
        <f t="shared" si="8"/>
        <v>7</v>
      </c>
      <c r="M41" s="91">
        <f t="shared" si="6"/>
        <v>45813</v>
      </c>
      <c r="N41" s="91"/>
      <c r="O41" s="4" t="str">
        <f t="shared" si="7"/>
        <v>qui</v>
      </c>
      <c r="P41" s="19" t="s">
        <v>69</v>
      </c>
    </row>
    <row r="42" spans="1:16" ht="22.5" customHeight="1" x14ac:dyDescent="0.25">
      <c r="A42" s="17">
        <v>1005</v>
      </c>
      <c r="B42" s="32" t="s">
        <v>45</v>
      </c>
      <c r="C42" s="26"/>
      <c r="D42" s="18">
        <v>15</v>
      </c>
      <c r="E42" s="28" t="s">
        <v>0</v>
      </c>
      <c r="F42" s="89">
        <v>45775</v>
      </c>
      <c r="G42" s="90"/>
      <c r="H42" s="24"/>
      <c r="I42" s="89">
        <v>45786</v>
      </c>
      <c r="J42" s="90"/>
      <c r="K42" s="24"/>
      <c r="L42" s="23">
        <f t="shared" si="8"/>
        <v>11</v>
      </c>
      <c r="M42" s="91">
        <f t="shared" si="6"/>
        <v>45800</v>
      </c>
      <c r="N42" s="91"/>
      <c r="O42" s="4" t="str">
        <f t="shared" si="7"/>
        <v>sex</v>
      </c>
      <c r="P42" s="19"/>
    </row>
    <row r="43" spans="1:16" ht="23.1" customHeight="1" x14ac:dyDescent="0.25">
      <c r="A43" s="17">
        <v>1346</v>
      </c>
      <c r="B43" s="25" t="s">
        <v>38</v>
      </c>
      <c r="C43" s="26"/>
      <c r="D43" s="18">
        <v>7</v>
      </c>
      <c r="E43" s="28" t="s">
        <v>20</v>
      </c>
      <c r="F43" s="89">
        <v>45799</v>
      </c>
      <c r="G43" s="90"/>
      <c r="H43" s="24"/>
      <c r="I43" s="89">
        <v>45806</v>
      </c>
      <c r="J43" s="90"/>
      <c r="K43" s="24"/>
      <c r="L43" s="23">
        <f t="shared" si="8"/>
        <v>7</v>
      </c>
      <c r="M43" s="91">
        <f t="shared" si="6"/>
        <v>45813</v>
      </c>
      <c r="N43" s="91"/>
      <c r="O43" s="4" t="str">
        <f t="shared" si="7"/>
        <v>qui</v>
      </c>
      <c r="P43" s="19" t="s">
        <v>12</v>
      </c>
    </row>
    <row r="44" spans="1:16" ht="23.1" customHeight="1" x14ac:dyDescent="0.25">
      <c r="A44" s="27">
        <v>92</v>
      </c>
      <c r="B44" s="25" t="s">
        <v>41</v>
      </c>
      <c r="C44" s="26"/>
      <c r="D44" s="18">
        <v>14</v>
      </c>
      <c r="E44" s="28" t="s">
        <v>1</v>
      </c>
      <c r="F44" s="89">
        <v>45790</v>
      </c>
      <c r="G44" s="90"/>
      <c r="H44" s="24"/>
      <c r="I44" s="89">
        <v>45807</v>
      </c>
      <c r="J44" s="90"/>
      <c r="K44" s="24"/>
      <c r="L44" s="23">
        <f t="shared" si="8"/>
        <v>17</v>
      </c>
      <c r="M44" s="91">
        <f t="shared" si="6"/>
        <v>45821</v>
      </c>
      <c r="N44" s="91"/>
      <c r="O44" s="4" t="str">
        <f t="shared" si="7"/>
        <v>sex</v>
      </c>
      <c r="P44" s="19"/>
    </row>
    <row r="45" spans="1:16" ht="23.1" customHeight="1" x14ac:dyDescent="0.25">
      <c r="A45" s="27" t="s">
        <v>31</v>
      </c>
      <c r="B45" s="25" t="s">
        <v>39</v>
      </c>
      <c r="C45" s="26"/>
      <c r="D45" s="18">
        <v>15</v>
      </c>
      <c r="E45" s="28" t="s">
        <v>20</v>
      </c>
      <c r="F45" s="89">
        <v>45782</v>
      </c>
      <c r="G45" s="90"/>
      <c r="H45" s="24">
        <v>908</v>
      </c>
      <c r="I45" s="89">
        <v>45796</v>
      </c>
      <c r="J45" s="90"/>
      <c r="K45" s="24">
        <v>784</v>
      </c>
      <c r="L45" s="23">
        <f t="shared" si="8"/>
        <v>14</v>
      </c>
      <c r="M45" s="91">
        <f t="shared" si="6"/>
        <v>45811</v>
      </c>
      <c r="N45" s="91"/>
      <c r="O45" s="4" t="str">
        <f t="shared" si="7"/>
        <v>ter</v>
      </c>
      <c r="P45" s="29" t="s">
        <v>13</v>
      </c>
    </row>
    <row r="46" spans="1:16" ht="23.25" customHeight="1" x14ac:dyDescent="0.25">
      <c r="A46" s="27" t="s">
        <v>32</v>
      </c>
      <c r="B46" s="25" t="s">
        <v>40</v>
      </c>
      <c r="C46" s="26"/>
      <c r="D46" s="18">
        <v>15</v>
      </c>
      <c r="E46" s="28" t="s">
        <v>21</v>
      </c>
      <c r="F46" s="89">
        <v>45806</v>
      </c>
      <c r="G46" s="90"/>
      <c r="H46" s="24">
        <v>270</v>
      </c>
      <c r="I46" s="89">
        <v>45813</v>
      </c>
      <c r="J46" s="90"/>
      <c r="K46" s="24">
        <v>1730</v>
      </c>
      <c r="L46" s="23">
        <f t="shared" si="8"/>
        <v>7</v>
      </c>
      <c r="M46" s="91">
        <f t="shared" si="6"/>
        <v>45828</v>
      </c>
      <c r="N46" s="91"/>
      <c r="O46" s="4" t="str">
        <f t="shared" si="7"/>
        <v>sex</v>
      </c>
      <c r="P46" s="19"/>
    </row>
    <row r="47" spans="1:16" ht="23.25" customHeight="1" x14ac:dyDescent="0.25">
      <c r="A47" s="27" t="s">
        <v>71</v>
      </c>
      <c r="B47" s="25" t="s">
        <v>70</v>
      </c>
      <c r="C47" s="26"/>
      <c r="D47" s="18">
        <v>7</v>
      </c>
      <c r="E47" s="28" t="s">
        <v>21</v>
      </c>
      <c r="F47" s="89">
        <v>45798</v>
      </c>
      <c r="G47" s="90"/>
      <c r="H47" s="24">
        <v>270</v>
      </c>
      <c r="I47" s="89">
        <v>45805</v>
      </c>
      <c r="J47" s="90"/>
      <c r="K47" s="24">
        <v>1730</v>
      </c>
      <c r="L47" s="23">
        <f t="shared" si="8"/>
        <v>7</v>
      </c>
      <c r="M47" s="91">
        <f t="shared" si="6"/>
        <v>45812</v>
      </c>
      <c r="N47" s="91"/>
      <c r="O47" s="4" t="str">
        <f t="shared" si="7"/>
        <v>qua</v>
      </c>
      <c r="P47" s="19"/>
    </row>
    <row r="48" spans="1:16" ht="23.1" customHeight="1" x14ac:dyDescent="0.25">
      <c r="A48" s="17">
        <v>109</v>
      </c>
      <c r="B48" s="102" t="s">
        <v>42</v>
      </c>
      <c r="C48" s="103"/>
      <c r="D48" s="18">
        <v>10</v>
      </c>
      <c r="E48" s="28" t="s">
        <v>0</v>
      </c>
      <c r="F48" s="90">
        <v>45793</v>
      </c>
      <c r="G48" s="90"/>
      <c r="H48" s="24"/>
      <c r="I48" s="90">
        <v>45803</v>
      </c>
      <c r="J48" s="90"/>
      <c r="K48" s="24"/>
      <c r="L48" s="23">
        <f t="shared" si="8"/>
        <v>10</v>
      </c>
      <c r="M48" s="91">
        <f t="shared" si="6"/>
        <v>45813</v>
      </c>
      <c r="N48" s="91"/>
      <c r="O48" s="4" t="str">
        <f t="shared" si="7"/>
        <v>qui</v>
      </c>
      <c r="P48" s="19"/>
    </row>
    <row r="49" spans="1:18" ht="23.1" customHeight="1" x14ac:dyDescent="0.25">
      <c r="A49" s="17">
        <v>110</v>
      </c>
      <c r="B49" s="102" t="s">
        <v>43</v>
      </c>
      <c r="C49" s="103"/>
      <c r="D49" s="18">
        <v>14</v>
      </c>
      <c r="E49" s="28" t="s">
        <v>0</v>
      </c>
      <c r="F49" s="90">
        <v>45804</v>
      </c>
      <c r="G49" s="90"/>
      <c r="H49" s="24"/>
      <c r="I49" s="90">
        <v>45814</v>
      </c>
      <c r="J49" s="90"/>
      <c r="K49" s="24"/>
      <c r="L49" s="23">
        <f t="shared" si="8"/>
        <v>10</v>
      </c>
      <c r="M49" s="91">
        <f t="shared" si="6"/>
        <v>45828</v>
      </c>
      <c r="N49" s="91"/>
      <c r="O49" s="4" t="str">
        <f t="shared" si="7"/>
        <v>sex</v>
      </c>
      <c r="P49" s="19"/>
    </row>
    <row r="50" spans="1:18" ht="23.1" hidden="1" customHeight="1" x14ac:dyDescent="0.25">
      <c r="A50" s="17">
        <v>1361</v>
      </c>
      <c r="B50" s="102" t="s">
        <v>50</v>
      </c>
      <c r="C50" s="103"/>
      <c r="D50" s="18">
        <v>25</v>
      </c>
      <c r="E50" s="28" t="s">
        <v>20</v>
      </c>
      <c r="F50" s="90">
        <v>45495</v>
      </c>
      <c r="G50" s="90"/>
      <c r="H50" s="24"/>
      <c r="I50" s="90">
        <v>45517</v>
      </c>
      <c r="J50" s="90"/>
      <c r="K50" s="24"/>
      <c r="L50" s="23">
        <f t="shared" si="8"/>
        <v>22</v>
      </c>
      <c r="M50" s="91">
        <f t="shared" si="6"/>
        <v>45541</v>
      </c>
      <c r="N50" s="91"/>
      <c r="O50" s="4" t="str">
        <f t="shared" si="7"/>
        <v>sex</v>
      </c>
      <c r="P50" s="19"/>
    </row>
    <row r="51" spans="1:18" ht="7.5" hidden="1" customHeight="1" x14ac:dyDescent="0.25">
      <c r="C51" s="13"/>
      <c r="D51" s="13"/>
      <c r="F51" s="6"/>
      <c r="G51" s="2"/>
      <c r="H51" s="2"/>
      <c r="I51" s="2"/>
      <c r="J51" s="2"/>
      <c r="L51" s="2"/>
      <c r="M51" s="2"/>
      <c r="N51" s="2"/>
      <c r="O51" s="8"/>
    </row>
    <row r="52" spans="1:18" ht="20.25" customHeight="1" x14ac:dyDescent="0.25">
      <c r="A52" s="115" t="str">
        <f>"Segunda(dia "&amp;TEXT($N$1+5,"DD")&amp;")"</f>
        <v>Segunda(dia 16)</v>
      </c>
      <c r="B52" s="116"/>
      <c r="C52" s="115" t="str">
        <f>"Terça(dia "&amp;TEXT($N$1+6,"DD")&amp;")"</f>
        <v>Terça(dia 17)</v>
      </c>
      <c r="D52" s="116"/>
      <c r="E52" s="116"/>
      <c r="F52" s="117"/>
      <c r="G52" s="116" t="str">
        <f>"Quarta(dia "&amp;TEXT($N$1+7,"DD")&amp;")"</f>
        <v>Quarta(dia 18)</v>
      </c>
      <c r="H52" s="116"/>
      <c r="I52" s="116"/>
      <c r="J52" s="116"/>
      <c r="K52" s="117"/>
      <c r="L52" s="115" t="str">
        <f>"Quinta(dia "&amp;TEXT($N$1+8,"DD")&amp;")"</f>
        <v>Quinta(dia 19)</v>
      </c>
      <c r="M52" s="116"/>
      <c r="N52" s="116"/>
      <c r="O52" s="116"/>
      <c r="P52" s="117"/>
      <c r="Q52" s="115" t="str">
        <f>"Sexta(dia "&amp;TEXT($N$1+9,"DD")&amp;")"</f>
        <v>Sexta(dia 20)</v>
      </c>
      <c r="R52" s="117"/>
    </row>
    <row r="53" spans="1:18" ht="24.95" customHeight="1" x14ac:dyDescent="0.25">
      <c r="A53" s="33" t="s">
        <v>96</v>
      </c>
      <c r="B53" s="2" t="s">
        <v>59</v>
      </c>
      <c r="C53" s="35"/>
      <c r="D53" s="136" t="s">
        <v>84</v>
      </c>
      <c r="E53" s="136"/>
      <c r="F53" s="136"/>
      <c r="G53" s="33" t="s">
        <v>96</v>
      </c>
      <c r="H53" s="104" t="s">
        <v>92</v>
      </c>
      <c r="I53" s="104"/>
      <c r="J53" s="104"/>
      <c r="K53" s="104"/>
      <c r="L53" s="36"/>
      <c r="M53" s="136" t="s">
        <v>90</v>
      </c>
      <c r="N53" s="136"/>
      <c r="O53" s="136"/>
      <c r="P53" s="136"/>
      <c r="Q53" s="33" t="s">
        <v>96</v>
      </c>
      <c r="R53" s="2" t="s">
        <v>92</v>
      </c>
    </row>
    <row r="54" spans="1:18" ht="24.95" customHeight="1" x14ac:dyDescent="0.25">
      <c r="A54" s="35" t="s">
        <v>96</v>
      </c>
      <c r="B54" s="2" t="s">
        <v>82</v>
      </c>
      <c r="C54" s="35"/>
      <c r="D54" s="136" t="s">
        <v>85</v>
      </c>
      <c r="E54" s="136"/>
      <c r="F54" s="136"/>
      <c r="G54" s="36"/>
      <c r="H54" s="136" t="s">
        <v>88</v>
      </c>
      <c r="I54" s="136"/>
      <c r="J54" s="136"/>
      <c r="K54" s="136"/>
      <c r="L54" s="36"/>
      <c r="M54" s="136" t="s">
        <v>89</v>
      </c>
      <c r="N54" s="136"/>
      <c r="O54" s="136"/>
      <c r="P54" s="136"/>
      <c r="Q54" s="36"/>
      <c r="R54" s="2" t="str">
        <f>IFERROR(VLOOKUP(Q54,$A:$B,2,FALSE),"")</f>
        <v/>
      </c>
    </row>
    <row r="55" spans="1:18" ht="24.95" customHeight="1" x14ac:dyDescent="0.25">
      <c r="A55" s="36" t="s">
        <v>96</v>
      </c>
      <c r="B55" s="2" t="s">
        <v>83</v>
      </c>
      <c r="C55" s="35"/>
      <c r="D55" s="136" t="s">
        <v>86</v>
      </c>
      <c r="E55" s="136"/>
      <c r="F55" s="136"/>
      <c r="G55" s="36"/>
      <c r="H55" s="2"/>
      <c r="I55" s="2"/>
      <c r="J55" s="2"/>
      <c r="K55" s="2"/>
      <c r="L55" s="36"/>
      <c r="M55" s="136" t="s">
        <v>93</v>
      </c>
      <c r="N55" s="136"/>
      <c r="O55" s="136"/>
      <c r="P55" s="136"/>
      <c r="Q55" s="36"/>
      <c r="R55" s="2" t="str">
        <f>IFERROR(VLOOKUP(Q55,$A:$B,2,FALSE),"")</f>
        <v/>
      </c>
    </row>
    <row r="56" spans="1:18" ht="24.95" customHeight="1" x14ac:dyDescent="0.25">
      <c r="A56" s="36" t="s">
        <v>96</v>
      </c>
      <c r="B56" s="2" t="s">
        <v>90</v>
      </c>
      <c r="C56" s="36"/>
      <c r="D56" s="136" t="s">
        <v>87</v>
      </c>
      <c r="E56" s="136"/>
      <c r="F56" s="136"/>
      <c r="G56" s="36"/>
      <c r="H56" s="105" t="str">
        <f t="shared" ref="H56:H62" si="10">IFERROR(VLOOKUP(G56,$A:$B,2,FALSE),"")</f>
        <v/>
      </c>
      <c r="I56" s="105"/>
      <c r="J56" s="105"/>
      <c r="K56" s="105"/>
      <c r="L56" s="36"/>
      <c r="M56" s="104" t="str">
        <f t="shared" ref="M56:M70" si="11">IFERROR(VLOOKUP(L56,$A:$B,2,FALSE),"")</f>
        <v/>
      </c>
      <c r="N56" s="104"/>
      <c r="O56" s="104"/>
      <c r="P56" s="104"/>
      <c r="Q56" s="36"/>
      <c r="R56" s="2" t="str">
        <f>IFERROR(VLOOKUP(Q56,$A:$B,2,FALSE),"")</f>
        <v/>
      </c>
    </row>
    <row r="57" spans="1:18" ht="24.95" customHeight="1" x14ac:dyDescent="0.25">
      <c r="A57" s="35" t="s">
        <v>96</v>
      </c>
      <c r="B57" s="2" t="s">
        <v>92</v>
      </c>
      <c r="C57" s="36"/>
      <c r="D57" s="136" t="s">
        <v>94</v>
      </c>
      <c r="E57" s="136"/>
      <c r="F57" s="136"/>
      <c r="G57" s="36"/>
      <c r="H57" s="104" t="str">
        <f t="shared" si="10"/>
        <v/>
      </c>
      <c r="I57" s="104"/>
      <c r="J57" s="104"/>
      <c r="K57" s="104"/>
      <c r="L57" s="36"/>
      <c r="M57" s="104" t="str">
        <f t="shared" si="11"/>
        <v/>
      </c>
      <c r="N57" s="104"/>
      <c r="O57" s="104"/>
      <c r="P57" s="104"/>
      <c r="Q57" s="36"/>
      <c r="R57" s="2" t="str">
        <f>IFERROR(VLOOKUP(Q57,$A:$B,2,FALSE),"")</f>
        <v/>
      </c>
    </row>
    <row r="58" spans="1:18" ht="24.95" customHeight="1" x14ac:dyDescent="0.25">
      <c r="A58" s="36"/>
      <c r="B58" s="2" t="str">
        <f t="shared" ref="B58:B64" si="12">IFERROR(VLOOKUP(A58,$A:$B,2,FALSE),"")</f>
        <v/>
      </c>
      <c r="C58" s="36"/>
      <c r="D58" s="105" t="str">
        <f t="shared" ref="D58:D63" si="13">IFERROR(VLOOKUP(C58,$A:$B,2,FALSE),"")</f>
        <v/>
      </c>
      <c r="E58" s="105"/>
      <c r="F58" s="105"/>
      <c r="G58" s="36"/>
      <c r="H58" s="104" t="str">
        <f t="shared" si="10"/>
        <v/>
      </c>
      <c r="I58" s="104"/>
      <c r="J58" s="104"/>
      <c r="K58" s="104"/>
      <c r="L58" s="36"/>
      <c r="M58" s="104" t="str">
        <f t="shared" si="11"/>
        <v/>
      </c>
      <c r="N58" s="104"/>
      <c r="O58" s="104"/>
      <c r="P58" s="104"/>
      <c r="Q58" s="36"/>
      <c r="R58" s="2" t="str">
        <f t="shared" ref="R58:R70" si="14">IFERROR(VLOOKUP(Q58,$A:$B,2,FALSE),"")</f>
        <v/>
      </c>
    </row>
    <row r="59" spans="1:18" ht="24.95" customHeight="1" x14ac:dyDescent="0.25">
      <c r="A59" s="36"/>
      <c r="B59" s="2" t="str">
        <f t="shared" si="12"/>
        <v/>
      </c>
      <c r="C59" s="36"/>
      <c r="D59" s="105" t="str">
        <f t="shared" si="13"/>
        <v/>
      </c>
      <c r="E59" s="105"/>
      <c r="F59" s="105"/>
      <c r="G59" s="36"/>
      <c r="H59" s="104" t="str">
        <f t="shared" si="10"/>
        <v/>
      </c>
      <c r="I59" s="104"/>
      <c r="J59" s="104"/>
      <c r="K59" s="104"/>
      <c r="L59" s="36"/>
      <c r="M59" s="104" t="str">
        <f t="shared" si="11"/>
        <v/>
      </c>
      <c r="N59" s="104"/>
      <c r="O59" s="104"/>
      <c r="P59" s="104"/>
      <c r="Q59" s="36"/>
      <c r="R59" s="2" t="str">
        <f t="shared" si="14"/>
        <v/>
      </c>
    </row>
    <row r="60" spans="1:18" ht="24.95" customHeight="1" x14ac:dyDescent="0.25">
      <c r="A60" s="36"/>
      <c r="B60" s="2" t="str">
        <f t="shared" si="12"/>
        <v/>
      </c>
      <c r="C60" s="36"/>
      <c r="D60" s="105" t="str">
        <f t="shared" si="13"/>
        <v/>
      </c>
      <c r="E60" s="105"/>
      <c r="F60" s="105"/>
      <c r="G60" s="36"/>
      <c r="H60" s="104" t="str">
        <f t="shared" si="10"/>
        <v/>
      </c>
      <c r="I60" s="104"/>
      <c r="J60" s="104"/>
      <c r="K60" s="104"/>
      <c r="L60" s="36"/>
      <c r="M60" s="104" t="str">
        <f t="shared" si="11"/>
        <v/>
      </c>
      <c r="N60" s="104"/>
      <c r="O60" s="104"/>
      <c r="P60" s="104"/>
      <c r="Q60" s="36"/>
      <c r="R60" s="2" t="str">
        <f t="shared" si="14"/>
        <v/>
      </c>
    </row>
    <row r="61" spans="1:18" ht="24.95" customHeight="1" x14ac:dyDescent="0.25">
      <c r="A61" s="35"/>
      <c r="B61" s="2" t="str">
        <f t="shared" si="12"/>
        <v/>
      </c>
      <c r="C61" s="36"/>
      <c r="D61" s="105" t="str">
        <f t="shared" si="13"/>
        <v/>
      </c>
      <c r="E61" s="105"/>
      <c r="F61" s="105"/>
      <c r="G61" s="36"/>
      <c r="H61" s="104" t="str">
        <f t="shared" si="10"/>
        <v/>
      </c>
      <c r="I61" s="104"/>
      <c r="J61" s="104"/>
      <c r="K61" s="104"/>
      <c r="L61" s="36"/>
      <c r="M61" s="104" t="str">
        <f t="shared" si="11"/>
        <v/>
      </c>
      <c r="N61" s="104"/>
      <c r="O61" s="104"/>
      <c r="P61" s="104"/>
      <c r="Q61" s="36"/>
      <c r="R61" s="2" t="str">
        <f t="shared" si="14"/>
        <v/>
      </c>
    </row>
    <row r="62" spans="1:18" ht="24.95" customHeight="1" x14ac:dyDescent="0.25">
      <c r="A62" s="36"/>
      <c r="B62" s="2" t="str">
        <f t="shared" si="12"/>
        <v/>
      </c>
      <c r="C62" s="36"/>
      <c r="D62" s="105" t="str">
        <f t="shared" si="13"/>
        <v/>
      </c>
      <c r="E62" s="105"/>
      <c r="F62" s="105"/>
      <c r="G62" s="36"/>
      <c r="H62" s="104" t="str">
        <f t="shared" si="10"/>
        <v/>
      </c>
      <c r="I62" s="104"/>
      <c r="J62" s="104"/>
      <c r="K62" s="104"/>
      <c r="L62" s="36"/>
      <c r="M62" s="104" t="str">
        <f t="shared" si="11"/>
        <v/>
      </c>
      <c r="N62" s="104"/>
      <c r="O62" s="104"/>
      <c r="P62" s="104"/>
      <c r="Q62" s="36"/>
      <c r="R62" s="2" t="str">
        <f t="shared" si="14"/>
        <v/>
      </c>
    </row>
    <row r="63" spans="1:18" ht="24.95" customHeight="1" x14ac:dyDescent="0.25">
      <c r="A63" s="36"/>
      <c r="B63" s="2" t="str">
        <f t="shared" si="12"/>
        <v/>
      </c>
      <c r="C63" s="36"/>
      <c r="D63" s="105" t="str">
        <f t="shared" si="13"/>
        <v/>
      </c>
      <c r="E63" s="105"/>
      <c r="F63" s="105"/>
      <c r="G63" s="36"/>
      <c r="H63" s="104" t="str">
        <f t="shared" ref="H63:H70" si="15">IFERROR(VLOOKUP(G63,$A:$B,2,FALSE),"")</f>
        <v/>
      </c>
      <c r="I63" s="104"/>
      <c r="J63" s="104"/>
      <c r="K63" s="104"/>
      <c r="L63" s="36"/>
      <c r="M63" s="104" t="str">
        <f t="shared" si="11"/>
        <v/>
      </c>
      <c r="N63" s="104"/>
      <c r="O63" s="104"/>
      <c r="P63" s="104"/>
      <c r="Q63" s="36"/>
      <c r="R63" s="2" t="str">
        <f t="shared" si="14"/>
        <v/>
      </c>
    </row>
    <row r="64" spans="1:18" ht="17.25" customHeight="1" x14ac:dyDescent="0.25">
      <c r="A64" s="36"/>
      <c r="B64" s="2" t="str">
        <f t="shared" si="12"/>
        <v/>
      </c>
      <c r="C64" s="36"/>
      <c r="D64" s="104" t="str">
        <f t="shared" ref="D64:D70" si="16">IFERROR(VLOOKUP(C64,$A:$B,2,FALSE),"")</f>
        <v/>
      </c>
      <c r="E64" s="104"/>
      <c r="F64" s="104"/>
      <c r="G64" s="36"/>
      <c r="H64" s="104" t="str">
        <f t="shared" si="15"/>
        <v/>
      </c>
      <c r="I64" s="104"/>
      <c r="J64" s="104"/>
      <c r="K64" s="104"/>
      <c r="L64" s="36"/>
      <c r="M64" s="104" t="str">
        <f t="shared" si="11"/>
        <v/>
      </c>
      <c r="N64" s="104"/>
      <c r="O64" s="104"/>
      <c r="P64" s="104"/>
      <c r="Q64" s="37"/>
      <c r="R64" s="2" t="str">
        <f t="shared" si="14"/>
        <v/>
      </c>
    </row>
    <row r="65" spans="1:18" ht="24.95" hidden="1" customHeight="1" x14ac:dyDescent="0.25">
      <c r="A65" s="37"/>
      <c r="B65" s="2" t="str">
        <f>IFERROR(VLOOKUP(A65,$A:$B,2,FALSE),"")</f>
        <v/>
      </c>
      <c r="C65" s="37"/>
      <c r="D65" s="104" t="str">
        <f t="shared" si="16"/>
        <v/>
      </c>
      <c r="E65" s="104"/>
      <c r="F65" s="104"/>
      <c r="G65" s="36"/>
      <c r="H65" s="104" t="str">
        <f t="shared" si="15"/>
        <v/>
      </c>
      <c r="I65" s="104"/>
      <c r="J65" s="104"/>
      <c r="K65" s="104"/>
      <c r="L65" s="38"/>
      <c r="M65" s="104" t="str">
        <f t="shared" si="11"/>
        <v/>
      </c>
      <c r="N65" s="104"/>
      <c r="O65" s="104"/>
      <c r="P65" s="104"/>
      <c r="Q65" s="37"/>
      <c r="R65" s="2" t="str">
        <f t="shared" si="14"/>
        <v/>
      </c>
    </row>
    <row r="66" spans="1:18" ht="24.95" hidden="1" customHeight="1" x14ac:dyDescent="0.25">
      <c r="A66" s="37"/>
      <c r="B66" s="2" t="str">
        <f>IFERROR(VLOOKUP(A66,$A:$B,2,FALSE),"")</f>
        <v/>
      </c>
      <c r="C66" s="37"/>
      <c r="D66" s="104" t="str">
        <f t="shared" si="16"/>
        <v/>
      </c>
      <c r="E66" s="104"/>
      <c r="F66" s="104"/>
      <c r="G66" s="36"/>
      <c r="H66" s="104" t="str">
        <f t="shared" si="15"/>
        <v/>
      </c>
      <c r="I66" s="104"/>
      <c r="J66" s="104"/>
      <c r="K66" s="104"/>
      <c r="L66" s="38"/>
      <c r="M66" s="104" t="str">
        <f t="shared" si="11"/>
        <v/>
      </c>
      <c r="N66" s="104"/>
      <c r="O66" s="104"/>
      <c r="P66" s="104"/>
      <c r="Q66" s="37"/>
      <c r="R66" s="2" t="str">
        <f t="shared" si="14"/>
        <v/>
      </c>
    </row>
    <row r="67" spans="1:18" ht="24.95" hidden="1" customHeight="1" x14ac:dyDescent="0.25">
      <c r="A67" s="37"/>
      <c r="B67" s="2" t="str">
        <f>IFERROR(VLOOKUP(A67,$A:$B,2,FALSE),"")</f>
        <v/>
      </c>
      <c r="C67" s="37"/>
      <c r="D67" s="104" t="str">
        <f t="shared" si="16"/>
        <v/>
      </c>
      <c r="E67" s="104"/>
      <c r="F67" s="104"/>
      <c r="G67" s="36"/>
      <c r="H67" s="104" t="str">
        <f t="shared" si="15"/>
        <v/>
      </c>
      <c r="I67" s="104"/>
      <c r="J67" s="104"/>
      <c r="K67" s="104"/>
      <c r="L67" s="38"/>
      <c r="M67" s="104" t="str">
        <f t="shared" si="11"/>
        <v/>
      </c>
      <c r="N67" s="104"/>
      <c r="O67" s="104"/>
      <c r="P67" s="104"/>
      <c r="Q67" s="37"/>
      <c r="R67" s="2" t="str">
        <f t="shared" si="14"/>
        <v/>
      </c>
    </row>
    <row r="68" spans="1:18" ht="15" x14ac:dyDescent="0.25">
      <c r="A68" s="37"/>
      <c r="C68" s="37"/>
      <c r="D68" s="104" t="str">
        <f t="shared" si="16"/>
        <v/>
      </c>
      <c r="E68" s="104"/>
      <c r="F68" s="104"/>
      <c r="G68" s="36"/>
      <c r="H68" s="104" t="str">
        <f t="shared" si="15"/>
        <v/>
      </c>
      <c r="I68" s="104"/>
      <c r="J68" s="104"/>
      <c r="K68" s="104"/>
      <c r="L68" s="38"/>
      <c r="M68" s="104" t="str">
        <f t="shared" si="11"/>
        <v/>
      </c>
      <c r="N68" s="104"/>
      <c r="O68" s="104"/>
      <c r="P68" s="104"/>
      <c r="Q68" s="37"/>
      <c r="R68" s="2" t="str">
        <f t="shared" si="14"/>
        <v/>
      </c>
    </row>
    <row r="69" spans="1:18" ht="15" x14ac:dyDescent="0.25">
      <c r="A69" s="37"/>
      <c r="B69" s="2" t="str">
        <f>IFERROR(VLOOKUP(A69,$A:$B,2,FALSE),"")</f>
        <v/>
      </c>
      <c r="C69" s="37"/>
      <c r="D69" s="104" t="str">
        <f t="shared" si="16"/>
        <v/>
      </c>
      <c r="E69" s="104"/>
      <c r="F69" s="104"/>
      <c r="G69" s="36"/>
      <c r="H69" s="104" t="str">
        <f t="shared" si="15"/>
        <v/>
      </c>
      <c r="I69" s="104"/>
      <c r="J69" s="104"/>
      <c r="K69" s="104"/>
      <c r="L69" s="38"/>
      <c r="M69" s="104" t="str">
        <f t="shared" si="11"/>
        <v/>
      </c>
      <c r="N69" s="104"/>
      <c r="O69" s="104"/>
      <c r="P69" s="104"/>
      <c r="Q69" s="37"/>
      <c r="R69" s="2" t="str">
        <f t="shared" si="14"/>
        <v/>
      </c>
    </row>
    <row r="70" spans="1:18" ht="15" x14ac:dyDescent="0.25">
      <c r="A70" s="37"/>
      <c r="B70" s="2" t="str">
        <f>IFERROR(VLOOKUP(A70,$A:$B,2,FALSE),"")</f>
        <v/>
      </c>
      <c r="C70" s="37"/>
      <c r="D70" s="104" t="str">
        <f t="shared" si="16"/>
        <v/>
      </c>
      <c r="E70" s="104"/>
      <c r="F70" s="104"/>
      <c r="G70" s="36"/>
      <c r="H70" s="104" t="str">
        <f t="shared" si="15"/>
        <v/>
      </c>
      <c r="I70" s="104"/>
      <c r="J70" s="104"/>
      <c r="K70" s="104"/>
      <c r="L70" s="38"/>
      <c r="M70" s="104" t="str">
        <f t="shared" si="11"/>
        <v/>
      </c>
      <c r="N70" s="104"/>
      <c r="O70" s="104"/>
      <c r="P70" s="104"/>
      <c r="Q70" s="37"/>
      <c r="R70" s="2" t="str">
        <f t="shared" si="14"/>
        <v/>
      </c>
    </row>
    <row r="71" spans="1:18" ht="27.75" customHeight="1" x14ac:dyDescent="0.25">
      <c r="A71" s="39"/>
      <c r="B71" s="2" t="str">
        <f>IFERROR(VLOOKUP(A71,$A:$B,2,FALSE),"")</f>
        <v/>
      </c>
      <c r="G71" s="39"/>
    </row>
    <row r="72" spans="1:18" ht="24.95" hidden="1" customHeight="1" x14ac:dyDescent="0.25"/>
    <row r="73" spans="1:18" ht="24.95" hidden="1" customHeight="1" x14ac:dyDescent="0.25"/>
    <row r="74" spans="1:18" ht="24.95" hidden="1" customHeight="1" x14ac:dyDescent="0.25"/>
    <row r="75" spans="1:18" ht="24.95" hidden="1" customHeight="1" x14ac:dyDescent="0.25"/>
    <row r="76" spans="1:18" ht="24.95" hidden="1" customHeight="1" x14ac:dyDescent="0.25"/>
    <row r="77" spans="1:18" ht="24.95" hidden="1" customHeight="1" x14ac:dyDescent="0.25"/>
    <row r="78" spans="1:18" ht="24.95" hidden="1" customHeight="1" x14ac:dyDescent="0.25"/>
    <row r="79" spans="1:18" ht="24.95" hidden="1" customHeight="1" x14ac:dyDescent="0.25"/>
    <row r="80" spans="1:18" ht="24.95" hidden="1" customHeight="1" x14ac:dyDescent="0.25"/>
    <row r="81" ht="24.95" hidden="1" customHeight="1" x14ac:dyDescent="0.25"/>
    <row r="82" ht="24.95" hidden="1" customHeight="1" x14ac:dyDescent="0.25"/>
    <row r="83" ht="24.95" hidden="1" customHeight="1" x14ac:dyDescent="0.25"/>
    <row r="84" ht="24.95" hidden="1" customHeight="1" x14ac:dyDescent="0.25"/>
    <row r="85" ht="24.95" hidden="1" customHeight="1" x14ac:dyDescent="0.25"/>
    <row r="86" ht="24.95" hidden="1" customHeight="1" x14ac:dyDescent="0.25"/>
    <row r="87" ht="24.95" hidden="1" customHeight="1" x14ac:dyDescent="0.25"/>
    <row r="88" ht="24.95" hidden="1" customHeight="1" x14ac:dyDescent="0.25"/>
    <row r="89" ht="24.95" hidden="1" customHeight="1" x14ac:dyDescent="0.25"/>
    <row r="90" ht="24.95" hidden="1" customHeight="1" x14ac:dyDescent="0.25"/>
    <row r="91" ht="24.95" hidden="1" customHeight="1" x14ac:dyDescent="0.25"/>
    <row r="92" ht="24.95" hidden="1" customHeight="1" x14ac:dyDescent="0.25"/>
    <row r="93" ht="24.95" hidden="1" customHeight="1" x14ac:dyDescent="0.25"/>
    <row r="94" ht="24.95" hidden="1" customHeight="1" x14ac:dyDescent="0.25"/>
    <row r="95" ht="24.95" hidden="1" customHeight="1" x14ac:dyDescent="0.25"/>
    <row r="96" ht="24.95" hidden="1" customHeight="1" x14ac:dyDescent="0.25"/>
    <row r="97" ht="24.95" hidden="1" customHeight="1" x14ac:dyDescent="0.25"/>
    <row r="98" ht="24.95" hidden="1" customHeight="1" x14ac:dyDescent="0.25"/>
    <row r="99" ht="24.95" hidden="1" customHeight="1" x14ac:dyDescent="0.25"/>
    <row r="100" ht="24.95" hidden="1" customHeight="1" x14ac:dyDescent="0.25"/>
    <row r="101" ht="24.95" hidden="1" customHeight="1" x14ac:dyDescent="0.25"/>
    <row r="102" ht="24.95" hidden="1" customHeight="1" x14ac:dyDescent="0.25"/>
    <row r="103" ht="24.95" hidden="1" customHeight="1" x14ac:dyDescent="0.25"/>
    <row r="104" ht="24.95" hidden="1" customHeight="1" x14ac:dyDescent="0.25"/>
    <row r="105" ht="24.95" hidden="1" customHeight="1" x14ac:dyDescent="0.25"/>
    <row r="106" ht="24.95" hidden="1" customHeight="1" x14ac:dyDescent="0.25"/>
    <row r="107" ht="24.95" hidden="1" customHeight="1" x14ac:dyDescent="0.25"/>
    <row r="108" ht="24.95" hidden="1" customHeight="1" x14ac:dyDescent="0.25"/>
    <row r="109" ht="24.95" hidden="1" customHeight="1" x14ac:dyDescent="0.25"/>
    <row r="110" ht="24.95" hidden="1" customHeight="1" x14ac:dyDescent="0.25"/>
    <row r="111" ht="24.95" hidden="1" customHeight="1" x14ac:dyDescent="0.25"/>
    <row r="112" ht="24.95" hidden="1" customHeight="1" x14ac:dyDescent="0.25"/>
  </sheetData>
  <sheetProtection formatCells="0" formatColumns="0" formatRows="0" insertColumns="0" insertRows="0" deleteColumns="0" deleteRows="0" sort="0"/>
  <mergeCells count="216">
    <mergeCell ref="D69:F69"/>
    <mergeCell ref="H69:K69"/>
    <mergeCell ref="M69:P69"/>
    <mergeCell ref="D70:F70"/>
    <mergeCell ref="H70:K70"/>
    <mergeCell ref="M70:P70"/>
    <mergeCell ref="D67:F67"/>
    <mergeCell ref="H67:K67"/>
    <mergeCell ref="M67:P67"/>
    <mergeCell ref="D68:F68"/>
    <mergeCell ref="H68:K68"/>
    <mergeCell ref="M68:P68"/>
    <mergeCell ref="D65:F65"/>
    <mergeCell ref="H65:K65"/>
    <mergeCell ref="M65:P65"/>
    <mergeCell ref="D66:F66"/>
    <mergeCell ref="H66:K66"/>
    <mergeCell ref="M66:P66"/>
    <mergeCell ref="D63:F63"/>
    <mergeCell ref="H63:K63"/>
    <mergeCell ref="M63:P63"/>
    <mergeCell ref="D64:F64"/>
    <mergeCell ref="H64:K64"/>
    <mergeCell ref="M64:P64"/>
    <mergeCell ref="D61:F61"/>
    <mergeCell ref="H61:K61"/>
    <mergeCell ref="M61:P61"/>
    <mergeCell ref="D62:F62"/>
    <mergeCell ref="H62:K62"/>
    <mergeCell ref="M62:P62"/>
    <mergeCell ref="D59:F59"/>
    <mergeCell ref="H59:K59"/>
    <mergeCell ref="M59:P59"/>
    <mergeCell ref="D60:F60"/>
    <mergeCell ref="H60:K60"/>
    <mergeCell ref="M60:P60"/>
    <mergeCell ref="D57:F57"/>
    <mergeCell ref="H57:K57"/>
    <mergeCell ref="M57:P57"/>
    <mergeCell ref="D58:F58"/>
    <mergeCell ref="H58:K58"/>
    <mergeCell ref="M58:P58"/>
    <mergeCell ref="D54:F54"/>
    <mergeCell ref="H54:K54"/>
    <mergeCell ref="M54:P54"/>
    <mergeCell ref="D55:F55"/>
    <mergeCell ref="M55:P55"/>
    <mergeCell ref="D56:F56"/>
    <mergeCell ref="H56:K56"/>
    <mergeCell ref="M56:P56"/>
    <mergeCell ref="A52:B52"/>
    <mergeCell ref="C52:F52"/>
    <mergeCell ref="G52:K52"/>
    <mergeCell ref="L52:P52"/>
    <mergeCell ref="Q52:R52"/>
    <mergeCell ref="D53:F53"/>
    <mergeCell ref="H53:K53"/>
    <mergeCell ref="M53:P53"/>
    <mergeCell ref="B49:C49"/>
    <mergeCell ref="F49:G49"/>
    <mergeCell ref="I49:J49"/>
    <mergeCell ref="M49:N49"/>
    <mergeCell ref="B50:C50"/>
    <mergeCell ref="F50:G50"/>
    <mergeCell ref="I50:J50"/>
    <mergeCell ref="M50:N50"/>
    <mergeCell ref="F47:G47"/>
    <mergeCell ref="I47:J47"/>
    <mergeCell ref="M47:N47"/>
    <mergeCell ref="B48:C48"/>
    <mergeCell ref="F48:G48"/>
    <mergeCell ref="I48:J48"/>
    <mergeCell ref="M48:N48"/>
    <mergeCell ref="F45:G45"/>
    <mergeCell ref="I45:J45"/>
    <mergeCell ref="M45:N45"/>
    <mergeCell ref="F46:G46"/>
    <mergeCell ref="I46:J46"/>
    <mergeCell ref="M46:N46"/>
    <mergeCell ref="F43:G43"/>
    <mergeCell ref="I43:J43"/>
    <mergeCell ref="M43:N43"/>
    <mergeCell ref="F44:G44"/>
    <mergeCell ref="I44:J44"/>
    <mergeCell ref="M44:N44"/>
    <mergeCell ref="F41:G41"/>
    <mergeCell ref="I41:J41"/>
    <mergeCell ref="M41:N41"/>
    <mergeCell ref="F42:G42"/>
    <mergeCell ref="I42:J42"/>
    <mergeCell ref="M42:N42"/>
    <mergeCell ref="F39:G39"/>
    <mergeCell ref="I39:J39"/>
    <mergeCell ref="M39:N39"/>
    <mergeCell ref="F40:G40"/>
    <mergeCell ref="I40:J40"/>
    <mergeCell ref="M40:N40"/>
    <mergeCell ref="F37:G37"/>
    <mergeCell ref="I37:J37"/>
    <mergeCell ref="M37:N37"/>
    <mergeCell ref="F38:G38"/>
    <mergeCell ref="I38:J38"/>
    <mergeCell ref="M38:N38"/>
    <mergeCell ref="F35:G35"/>
    <mergeCell ref="I35:J35"/>
    <mergeCell ref="M35:N35"/>
    <mergeCell ref="F36:G36"/>
    <mergeCell ref="I36:J36"/>
    <mergeCell ref="M36:N36"/>
    <mergeCell ref="F33:G33"/>
    <mergeCell ref="I33:J33"/>
    <mergeCell ref="M33:N33"/>
    <mergeCell ref="F34:G34"/>
    <mergeCell ref="I34:J34"/>
    <mergeCell ref="M34:N34"/>
    <mergeCell ref="F31:G31"/>
    <mergeCell ref="I31:J31"/>
    <mergeCell ref="M31:N31"/>
    <mergeCell ref="F32:G32"/>
    <mergeCell ref="I32:J32"/>
    <mergeCell ref="M32:N32"/>
    <mergeCell ref="F29:G29"/>
    <mergeCell ref="I29:J29"/>
    <mergeCell ref="M29:N29"/>
    <mergeCell ref="F30:G30"/>
    <mergeCell ref="I30:J30"/>
    <mergeCell ref="M30:N30"/>
    <mergeCell ref="F27:G27"/>
    <mergeCell ref="I27:J27"/>
    <mergeCell ref="M27:N27"/>
    <mergeCell ref="F28:G28"/>
    <mergeCell ref="I28:J28"/>
    <mergeCell ref="M28:N28"/>
    <mergeCell ref="F25:G25"/>
    <mergeCell ref="I25:J25"/>
    <mergeCell ref="M25:N25"/>
    <mergeCell ref="F26:G26"/>
    <mergeCell ref="I26:J26"/>
    <mergeCell ref="M26:N26"/>
    <mergeCell ref="A23:C23"/>
    <mergeCell ref="F23:H23"/>
    <mergeCell ref="I23:K23"/>
    <mergeCell ref="M23:O23"/>
    <mergeCell ref="B24:C24"/>
    <mergeCell ref="F24:G24"/>
    <mergeCell ref="I24:J24"/>
    <mergeCell ref="M24:N24"/>
    <mergeCell ref="B20:C20"/>
    <mergeCell ref="F20:G20"/>
    <mergeCell ref="I20:J20"/>
    <mergeCell ref="M20:N20"/>
    <mergeCell ref="B21:C21"/>
    <mergeCell ref="F21:G21"/>
    <mergeCell ref="I21:J21"/>
    <mergeCell ref="M21:N21"/>
    <mergeCell ref="Q16:R21"/>
    <mergeCell ref="F17:G17"/>
    <mergeCell ref="I17:J17"/>
    <mergeCell ref="M17:N17"/>
    <mergeCell ref="B14:C14"/>
    <mergeCell ref="F14:G14"/>
    <mergeCell ref="I14:J14"/>
    <mergeCell ref="M14:N14"/>
    <mergeCell ref="F15:G15"/>
    <mergeCell ref="I15:J15"/>
    <mergeCell ref="M15:N15"/>
    <mergeCell ref="B18:C18"/>
    <mergeCell ref="F18:G18"/>
    <mergeCell ref="I18:J18"/>
    <mergeCell ref="M18:N18"/>
    <mergeCell ref="B19:C19"/>
    <mergeCell ref="F19:G19"/>
    <mergeCell ref="I19:J19"/>
    <mergeCell ref="M19:N19"/>
    <mergeCell ref="F16:G16"/>
    <mergeCell ref="I16:J16"/>
    <mergeCell ref="M16:N16"/>
    <mergeCell ref="F12:G12"/>
    <mergeCell ref="I12:J12"/>
    <mergeCell ref="M12:N12"/>
    <mergeCell ref="F13:G13"/>
    <mergeCell ref="I13:J13"/>
    <mergeCell ref="M13:N13"/>
    <mergeCell ref="F10:G10"/>
    <mergeCell ref="I10:J10"/>
    <mergeCell ref="M10:N10"/>
    <mergeCell ref="B11:C11"/>
    <mergeCell ref="F11:G11"/>
    <mergeCell ref="I11:J11"/>
    <mergeCell ref="M11:N11"/>
    <mergeCell ref="F8:G8"/>
    <mergeCell ref="I8:J8"/>
    <mergeCell ref="M8:N8"/>
    <mergeCell ref="F9:G9"/>
    <mergeCell ref="I9:J9"/>
    <mergeCell ref="M9:N9"/>
    <mergeCell ref="F7:G7"/>
    <mergeCell ref="I7:J7"/>
    <mergeCell ref="M7:N7"/>
    <mergeCell ref="F4:G4"/>
    <mergeCell ref="I4:J4"/>
    <mergeCell ref="M4:N4"/>
    <mergeCell ref="F5:G5"/>
    <mergeCell ref="I5:J5"/>
    <mergeCell ref="M5:N5"/>
    <mergeCell ref="N1:O1"/>
    <mergeCell ref="A2:C2"/>
    <mergeCell ref="F2:H2"/>
    <mergeCell ref="I2:K2"/>
    <mergeCell ref="M2:O2"/>
    <mergeCell ref="F3:G3"/>
    <mergeCell ref="I3:J3"/>
    <mergeCell ref="M3:N3"/>
    <mergeCell ref="F6:G6"/>
    <mergeCell ref="I6:J6"/>
    <mergeCell ref="M6:N6"/>
  </mergeCells>
  <conditionalFormatting sqref="M3:O21 M24:O50">
    <cfRule type="expression" dxfId="3" priority="2">
      <formula>IF(IFERROR(VLOOKUP($A3,$A$52:$A$71,1,FALSE),"")&amp;IFERROR(VLOOKUP($A3,$C$52:$C$71,1,FALSE),"")&amp;IFERROR(VLOOKUP($A3,$G$52:$G$71,1,FALSE),"")&amp;IFERROR(VLOOKUP($A3,$L$52:$L$71,1,FALSE),"")&amp;IFERROR(VLOOKUP($A3,$Q$52:$Q$71,1,FALSE),"")="",FALSE(),TRUE())</formula>
    </cfRule>
  </conditionalFormatting>
  <conditionalFormatting sqref="M44:O44">
    <cfRule type="expression" dxfId="2" priority="4">
      <formula>IF(IFERROR(VLOOKUP($A44,$A$72:$A$91,1,FALSE),"")&amp;IFERROR(VLOOKUP($A44,$C$72:$C$91,1,FALSE),"")&amp;IFERROR(VLOOKUP($A44,$H$72:$H$91,1,FALSE),"")&amp;IFERROR(VLOOKUP($A44,$M$72:$M$91,1,FALSE),"")&amp;IFERROR(VLOOKUP($A44,$R$72:$R$91,1,FALSE),"")="",FALSE(),TRUE())</formula>
    </cfRule>
  </conditionalFormatting>
  <conditionalFormatting sqref="P3:P21">
    <cfRule type="expression" dxfId="1" priority="1">
      <formula>AND(P3&lt;&gt;"",O3&lt;&gt;P3)</formula>
    </cfRule>
  </conditionalFormatting>
  <conditionalFormatting sqref="P24:P50">
    <cfRule type="expression" dxfId="0" priority="3">
      <formula>AND(P24&lt;&gt;"",O24&lt;&gt;P24)</formula>
    </cfRule>
  </conditionalFormatting>
  <printOptions horizontalCentered="1"/>
  <pageMargins left="0.19685039370078741" right="0.19685039370078741" top="0.19685039370078741" bottom="0.19685039370078741" header="0.31496062992125984" footer="0.31496062992125984"/>
  <pageSetup paperSize="9" scale="39" orientation="landscape" r:id="rId1"/>
  <rowBreaks count="1" manualBreakCount="1">
    <brk id="45" max="18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ARAQUARI</vt:lpstr>
      <vt:lpstr>BKP</vt:lpstr>
      <vt:lpstr>ARAQUARI!Area_de_impressao</vt:lpstr>
      <vt:lpstr>BKP!Area_de_impressao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ALIX</cp:lastModifiedBy>
  <cp:lastPrinted>2026-05-28T17:10:25Z</cp:lastPrinted>
  <dcterms:created xsi:type="dcterms:W3CDTF">2016-08-04T12:42:34Z</dcterms:created>
  <dcterms:modified xsi:type="dcterms:W3CDTF">2026-05-29T18:31:04Z</dcterms:modified>
</cp:coreProperties>
</file>